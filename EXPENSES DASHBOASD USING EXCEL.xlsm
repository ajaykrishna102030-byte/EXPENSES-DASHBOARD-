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jay Krishna\Downloads\"/>
    </mc:Choice>
  </mc:AlternateContent>
  <xr:revisionPtr revIDLastSave="0" documentId="13_ncr:1_{E2585392-1FB3-458A-8775-A553F6DE3052}" xr6:coauthVersionLast="47" xr6:coauthVersionMax="47" xr10:uidLastSave="{00000000-0000-0000-0000-000000000000}"/>
  <bookViews>
    <workbookView xWindow="-110" yWindow="-110" windowWidth="19420" windowHeight="10300" xr2:uid="{CE7C6016-0442-4699-AE9F-5CF5ED083DB1}"/>
  </bookViews>
  <sheets>
    <sheet name="Dashboard" sheetId="3" r:id="rId1"/>
    <sheet name="Data" sheetId="1" r:id="rId2"/>
    <sheet name="Pivot" sheetId="2" r:id="rId3"/>
  </sheets>
  <definedNames>
    <definedName name="Slicer_Department">#N/A</definedName>
    <definedName name="Slicer_Month">#N/A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5" i="3"/>
  <c r="AF6" i="3" s="1"/>
  <c r="AF4" i="3"/>
  <c r="AF3" i="3"/>
  <c r="AF2" i="3"/>
  <c r="AF7" i="3" l="1"/>
</calcChain>
</file>

<file path=xl/sharedStrings.xml><?xml version="1.0" encoding="utf-8"?>
<sst xmlns="http://schemas.openxmlformats.org/spreadsheetml/2006/main" count="3395" uniqueCount="927">
  <si>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</si>
  <si>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</si>
  <si>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</si>
  <si>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</si>
  <si>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</si>
  <si>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</si>
  <si>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</si>
  <si>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</si>
  <si>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</si>
  <si>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</si>
  <si>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</si>
  <si>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</si>
  <si>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</si>
  <si>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</si>
  <si>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</si>
  <si>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</si>
  <si>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</si>
  <si>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</si>
  <si>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</si>
  <si>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</si>
  <si>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</si>
  <si>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</si>
  <si>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</si>
  <si>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</si>
  <si>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</si>
  <si>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</si>
  <si>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</si>
  <si>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</si>
  <si>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</si>
  <si>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</si>
  <si>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</si>
  <si>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</si>
  <si>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</si>
  <si>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</si>
  <si>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</si>
  <si>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</si>
  <si>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</si>
  <si>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</si>
  <si>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</si>
  <si>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</si>
  <si>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</si>
  <si>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</si>
  <si>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</si>
  <si>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</si>
  <si>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</si>
  <si>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</si>
  <si>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</si>
  <si>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</si>
  <si>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</si>
  <si>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</si>
  <si>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</si>
  <si>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</si>
  <si>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</si>
  <si>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</si>
  <si>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</si>
  <si>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</si>
  <si>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</si>
  <si>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</si>
  <si>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</si>
  <si>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</si>
  <si>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</si>
  <si>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</si>
  <si>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</si>
  <si>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</si>
  <si>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</si>
  <si>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</si>
  <si>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</si>
  <si>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</si>
  <si>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</si>
  <si>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</si>
  <si>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</si>
  <si>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</si>
  <si>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</si>
  <si>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</si>
  <si>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</si>
  <si>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</si>
  <si>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</si>
  <si>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</si>
  <si>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</si>
  <si>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</si>
  <si>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</si>
  <si>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</si>
  <si>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</si>
  <si>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</si>
  <si>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</si>
  <si>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</si>
  <si>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</si>
  <si>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</si>
  <si>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</si>
  <si>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</si>
  <si>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</si>
  <si>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</si>
  <si>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</si>
  <si>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</si>
  <si>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</si>
  <si>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</si>
  <si>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</si>
  <si>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</si>
  <si>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</si>
  <si>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</si>
  <si>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</si>
  <si>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</si>
  <si>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</si>
  <si>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</si>
  <si>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</si>
  <si>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</si>
  <si>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</si>
  <si>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</si>
  <si>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</si>
  <si>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</si>
  <si>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</si>
  <si>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</si>
  <si>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</si>
  <si>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</si>
  <si>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</si>
  <si>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</si>
  <si>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</si>
  <si>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</si>
  <si>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</si>
  <si>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</si>
  <si>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</si>
  <si>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</si>
  <si>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</si>
  <si>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</si>
  <si>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</si>
  <si>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</si>
  <si>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</si>
  <si>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</si>
  <si>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</si>
  <si>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</si>
  <si>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</si>
  <si>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</si>
  <si>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</si>
  <si>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</si>
  <si>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</si>
  <si>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</si>
  <si>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</si>
  <si>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</si>
  <si>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</si>
  <si>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</si>
  <si>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</si>
  <si>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</si>
  <si>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</si>
  <si>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</si>
  <si>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</si>
  <si>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</si>
  <si>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</si>
  <si>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</si>
  <si>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</si>
  <si>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</si>
  <si>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</si>
  <si>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</si>
  <si>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</si>
  <si>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</si>
  <si>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</si>
  <si>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</si>
  <si>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</si>
  <si>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</si>
  <si>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</si>
  <si>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</si>
  <si>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</si>
  <si>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</si>
  <si>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</si>
  <si>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</si>
  <si>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</si>
  <si>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</si>
  <si>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</si>
  <si>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</si>
  <si>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</si>
  <si>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</si>
  <si>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</si>
  <si>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</si>
  <si>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</si>
  <si>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</si>
  <si>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</si>
  <si>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</si>
  <si>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</si>
  <si>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</si>
  <si>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</si>
  <si>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</si>
  <si>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</si>
  <si>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</si>
  <si>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</si>
  <si>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</si>
  <si>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</si>
  <si>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</si>
  <si>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</si>
  <si>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</si>
  <si>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</si>
  <si>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</si>
  <si>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</si>
  <si>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</si>
  <si>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</si>
  <si>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</si>
  <si>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</si>
  <si>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</si>
  <si>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</si>
  <si>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</si>
  <si>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</si>
  <si>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</si>
  <si>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</si>
  <si>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</si>
  <si>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</si>
  <si>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</si>
  <si>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</si>
  <si>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</si>
  <si>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</si>
  <si>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</si>
  <si>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</si>
  <si>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</si>
  <si>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</si>
  <si>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</si>
  <si>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</si>
  <si>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</si>
  <si>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</si>
  <si>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</si>
  <si>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</si>
  <si>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</si>
  <si>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</si>
  <si>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</si>
  <si>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</si>
  <si>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</si>
  <si>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</si>
  <si>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</si>
  <si>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</si>
  <si>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</si>
  <si>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</si>
  <si>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</si>
  <si>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</si>
  <si>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</si>
  <si>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</si>
  <si>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</si>
  <si>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</si>
  <si>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</si>
  <si>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</si>
  <si>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</si>
  <si>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</si>
  <si>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</si>
  <si>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</si>
  <si>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</si>
  <si>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</si>
  <si>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</si>
  <si>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</si>
  <si>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</si>
  <si>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</si>
  <si>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</si>
  <si>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</si>
  <si>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</si>
  <si>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</si>
  <si>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</si>
  <si>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</si>
  <si>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</si>
  <si>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</si>
  <si>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</si>
  <si>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</si>
  <si>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</si>
  <si>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</si>
  <si>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</si>
  <si>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</si>
  <si>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</si>
  <si>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</si>
  <si>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</si>
  <si>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</si>
  <si>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</si>
  <si>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</si>
  <si>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</si>
  <si>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</si>
  <si>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</si>
  <si>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</si>
  <si>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</si>
  <si>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</si>
  <si>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</si>
  <si>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</si>
  <si>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</si>
  <si>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</si>
  <si>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</si>
  <si>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</si>
  <si>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</si>
  <si>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</si>
  <si>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</si>
  <si>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</si>
  <si>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</si>
  <si>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</si>
  <si>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</si>
  <si>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</si>
  <si>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</si>
  <si>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</si>
  <si>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</si>
  <si>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</si>
  <si>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</si>
  <si>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</si>
  <si>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</si>
  <si>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</si>
  <si>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</si>
  <si>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</si>
  <si>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</si>
  <si>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</si>
  <si>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</si>
  <si>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</si>
  <si>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</si>
  <si>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</si>
  <si>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</si>
  <si>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</si>
  <si>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</si>
  <si>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</si>
  <si>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</si>
  <si>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</si>
  <si>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</si>
  <si>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</si>
  <si>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</si>
  <si>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</si>
  <si>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</si>
  <si>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</si>
  <si>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</si>
  <si>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</si>
  <si>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</si>
  <si>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</si>
  <si>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</si>
  <si>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</si>
  <si>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</si>
  <si>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</si>
  <si>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</si>
  <si>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</si>
  <si>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</si>
  <si>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</si>
  <si>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</si>
  <si>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</si>
  <si>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</si>
  <si>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</si>
  <si>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</si>
  <si>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</si>
  <si>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</si>
  <si>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</si>
  <si>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</si>
  <si>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</si>
  <si>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</si>
  <si>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</si>
  <si>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</si>
  <si>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</si>
  <si>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</si>
  <si>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</si>
  <si>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</si>
  <si>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</si>
  <si>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</si>
  <si>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</si>
  <si>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</si>
  <si>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</si>
  <si>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</si>
  <si>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</si>
  <si>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</si>
  <si>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</si>
  <si>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</si>
  <si>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</si>
  <si>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</si>
  <si>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</si>
  <si>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</si>
  <si>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</si>
  <si>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</si>
  <si>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</si>
  <si>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</si>
  <si>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</si>
  <si>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</si>
  <si>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</si>
  <si>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</si>
  <si>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</si>
  <si>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</si>
  <si>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</si>
  <si>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</si>
  <si>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</si>
  <si>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</si>
  <si>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</si>
  <si>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</si>
  <si>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</si>
  <si>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</si>
  <si>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</si>
  <si>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</si>
  <si>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</si>
  <si>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</si>
  <si>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</si>
  <si>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</si>
  <si>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</si>
  <si>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</si>
  <si>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</si>
  <si>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</si>
  <si>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</si>
  <si>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</si>
  <si>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</si>
  <si>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</si>
  <si>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</si>
  <si>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</si>
  <si>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</si>
  <si>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</si>
  <si>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</si>
  <si>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</si>
  <si>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</si>
  <si>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</si>
  <si>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</si>
  <si>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</si>
  <si>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</si>
  <si>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</si>
  <si>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</si>
  <si>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</si>
  <si>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</si>
  <si>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</si>
  <si>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</si>
  <si>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</si>
  <si>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</si>
  <si>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</si>
  <si>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</si>
  <si>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</si>
  <si>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</si>
  <si>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</si>
  <si>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</si>
  <si>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</si>
  <si>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</si>
  <si>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</si>
  <si>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</si>
  <si>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</si>
  <si>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</si>
  <si>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</si>
  <si>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</si>
  <si>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</si>
  <si>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</si>
  <si>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</si>
  <si>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</si>
  <si>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</si>
  <si>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</si>
  <si>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</si>
  <si>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</si>
  <si>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</si>
  <si>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</si>
  <si>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</si>
  <si>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</si>
  <si>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</si>
  <si>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</si>
  <si>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</si>
  <si>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</si>
  <si>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</si>
  <si>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</si>
  <si>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</si>
  <si>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</si>
  <si>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</si>
  <si>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</si>
  <si>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</si>
  <si>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</si>
  <si>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</si>
  <si>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</si>
  <si>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</si>
  <si>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</si>
  <si>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</si>
  <si>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</si>
  <si>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</si>
  <si>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</si>
  <si>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</si>
  <si>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</si>
  <si>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</si>
  <si>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</si>
  <si>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</si>
  <si>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</si>
  <si>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</si>
  <si>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</si>
  <si>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</si>
  <si>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</si>
  <si>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</si>
  <si>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</si>
  <si>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</si>
  <si>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</si>
  <si>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</si>
  <si>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</si>
  <si>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</si>
  <si>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</si>
  <si>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</si>
  <si>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</si>
  <si>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</si>
  <si>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</si>
  <si>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</si>
  <si>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</si>
  <si>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</si>
  <si>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</si>
  <si>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</si>
  <si>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</si>
  <si>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</si>
  <si>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</si>
  <si>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</si>
  <si>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</si>
  <si>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</si>
  <si>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</si>
  <si>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</si>
  <si>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</si>
  <si>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</si>
  <si>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</si>
  <si>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</si>
  <si>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</si>
  <si>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</si>
  <si>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</si>
  <si>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</si>
  <si>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</si>
  <si>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</si>
  <si>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</si>
  <si>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</si>
  <si>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</si>
  <si>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</si>
  <si>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</si>
  <si>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</si>
  <si>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</si>
  <si>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</si>
  <si>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</si>
  <si>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</si>
  <si>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</si>
  <si>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</si>
  <si>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</si>
  <si>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</si>
  <si>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</si>
  <si>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</si>
  <si>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</si>
  <si>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</si>
  <si>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</si>
  <si>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</si>
  <si>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</si>
  <si>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</si>
  <si>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</si>
  <si>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</si>
  <si>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</si>
  <si>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</si>
  <si>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</si>
  <si>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</si>
  <si>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</si>
  <si>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</si>
  <si>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</si>
  <si>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</si>
  <si>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</si>
  <si>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</si>
  <si>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</si>
  <si>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</si>
  <si>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</si>
  <si>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</si>
  <si>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</si>
  <si>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</si>
  <si>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</si>
  <si>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</si>
  <si>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</si>
  <si>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</si>
  <si>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</si>
  <si>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</si>
  <si>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</si>
  <si>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</si>
  <si>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</si>
  <si>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</si>
  <si>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</si>
  <si>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</si>
  <si>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</si>
  <si>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</si>
  <si>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</si>
  <si>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</si>
  <si>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</si>
  <si>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</si>
  <si>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</si>
  <si>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</si>
  <si>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</si>
  <si>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</si>
  <si>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</si>
  <si>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</si>
  <si>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</si>
  <si>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</si>
  <si>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</si>
  <si>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</si>
  <si>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</si>
  <si>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</si>
  <si>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</si>
  <si>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</si>
  <si>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</si>
  <si>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</si>
  <si>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</si>
  <si>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</si>
  <si>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</si>
  <si>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</si>
  <si>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</si>
  <si>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</si>
  <si>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</si>
  <si>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</si>
  <si>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</si>
  <si>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</si>
  <si>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</si>
  <si>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</si>
  <si>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</si>
  <si>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</si>
  <si>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</si>
  <si>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</si>
  <si>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</si>
  <si>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</si>
  <si>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</si>
  <si>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</si>
  <si>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</si>
  <si>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</si>
  <si>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</si>
  <si>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</si>
  <si>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</si>
  <si>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</si>
  <si>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</si>
  <si>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</si>
  <si>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</si>
  <si>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</si>
  <si>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</si>
  <si>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</si>
  <si>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</si>
  <si>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</si>
  <si>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</si>
  <si>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</si>
  <si>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</si>
  <si>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</si>
  <si>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</si>
  <si>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</si>
  <si>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</si>
  <si>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</si>
  <si>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</si>
  <si>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</si>
  <si>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</si>
  <si>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</si>
  <si>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</si>
  <si>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</si>
  <si>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</si>
  <si>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</si>
  <si>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</si>
  <si>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</si>
  <si>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</si>
  <si>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</si>
  <si>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</si>
  <si>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</si>
  <si>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</si>
  <si>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</si>
  <si>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</si>
  <si>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</si>
  <si>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</si>
  <si>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</si>
  <si>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</si>
  <si>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</si>
  <si>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</si>
  <si>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</si>
  <si>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</si>
  <si>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</si>
  <si>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</si>
  <si>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</si>
  <si>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</si>
  <si>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</si>
  <si>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</si>
  <si>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</si>
  <si>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</si>
  <si>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</si>
  <si>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</si>
  <si>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</si>
  <si>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</si>
  <si>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</si>
  <si>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</si>
  <si>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</si>
  <si>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</si>
  <si>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</si>
  <si>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</si>
  <si>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</si>
  <si>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</si>
  <si>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</si>
  <si>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</si>
  <si>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</si>
  <si>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</si>
  <si>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</si>
  <si>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</si>
  <si>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</si>
  <si>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</si>
  <si>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</si>
  <si>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</si>
  <si>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</si>
  <si>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</si>
  <si>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</si>
  <si>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</si>
  <si>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</si>
  <si>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</si>
  <si>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</si>
  <si>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</si>
  <si>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</si>
  <si>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</si>
  <si>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</si>
  <si>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</si>
  <si>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</si>
  <si>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</si>
  <si>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</si>
  <si>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</si>
  <si>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</si>
  <si>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</si>
  <si>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</si>
  <si>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</si>
  <si>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</si>
  <si>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</si>
  <si>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</si>
  <si>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</si>
  <si>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</si>
  <si>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</si>
  <si>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</si>
  <si>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</si>
  <si>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</si>
  <si>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</si>
  <si>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</si>
  <si>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</si>
  <si>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</si>
  <si>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</si>
  <si>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</si>
  <si>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</si>
  <si>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</si>
  <si>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</si>
  <si>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</si>
  <si>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</si>
  <si>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</si>
  <si>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</si>
  <si>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</si>
  <si>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</si>
  <si>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</si>
  <si>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</si>
  <si>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</si>
  <si>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</si>
  <si>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</si>
  <si>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</si>
  <si>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</si>
  <si>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</si>
  <si>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</si>
  <si>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</si>
  <si>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</si>
  <si>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</si>
  <si>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</si>
  <si>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</si>
  <si>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</si>
  <si>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</si>
  <si>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</si>
  <si>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</si>
  <si>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</si>
  <si>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</si>
  <si>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</si>
  <si>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</si>
  <si>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</si>
  <si>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</si>
  <si>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</si>
  <si>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</si>
  <si>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</si>
  <si>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</si>
  <si>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</si>
  <si>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</si>
  <si>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</si>
  <si>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</si>
  <si>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</si>
  <si>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</si>
  <si>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</si>
  <si>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</si>
  <si>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</si>
  <si>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</si>
  <si>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</si>
  <si>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</si>
  <si>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</si>
  <si>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</si>
  <si>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</si>
  <si>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</si>
  <si>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</si>
  <si>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</si>
  <si>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</si>
  <si>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</si>
  <si>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</si>
  <si>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</si>
  <si>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</si>
  <si>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</si>
  <si>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</si>
  <si>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</si>
  <si>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</si>
  <si>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</si>
  <si>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</si>
  <si>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</si>
  <si>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</si>
  <si>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</si>
  <si>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</si>
  <si>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</si>
  <si>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</si>
  <si>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</si>
  <si>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</si>
  <si>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</si>
  <si>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</si>
  <si>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</si>
  <si>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</si>
  <si>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</si>
  <si>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</si>
  <si>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</si>
  <si>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</si>
  <si>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</si>
  <si>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</si>
  <si>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</si>
  <si>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</si>
  <si>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</si>
  <si>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</si>
  <si>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</si>
  <si>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</si>
  <si>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</si>
  <si>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</si>
  <si>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</si>
  <si>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</si>
  <si>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</si>
  <si>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</si>
  <si>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</si>
  <si>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</si>
  <si>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</si>
  <si>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</si>
  <si>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</si>
  <si>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</si>
  <si>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</si>
  <si>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</si>
  <si>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</si>
  <si>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</si>
  <si>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</si>
  <si>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</si>
  <si>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</si>
  <si>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</si>
  <si>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</si>
  <si>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</si>
  <si>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</si>
  <si>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</si>
  <si>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</si>
  <si>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</si>
  <si>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</si>
  <si>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</si>
  <si>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</si>
  <si>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</si>
  <si>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</si>
  <si>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</si>
  <si>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</si>
  <si>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</si>
  <si>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</si>
  <si>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</si>
  <si>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</si>
  <si>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</si>
  <si>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</si>
  <si>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</si>
  <si>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</si>
  <si>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</si>
  <si>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</si>
  <si>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</si>
  <si>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</si>
  <si>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</si>
  <si>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</si>
  <si>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</si>
  <si>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</si>
  <si>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</si>
  <si>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</si>
  <si>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</si>
  <si>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</si>
  <si>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</si>
  <si>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</si>
  <si>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</si>
  <si>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</si>
  <si>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</si>
  <si>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</si>
  <si>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</si>
  <si>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</si>
  <si>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</si>
  <si>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</si>
  <si>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</si>
  <si>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</si>
  <si>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</si>
  <si>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</si>
  <si>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</si>
  <si>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</si>
  <si>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</si>
  <si>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</si>
  <si>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</si>
  <si>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</si>
  <si>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</si>
  <si>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</si>
  <si>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</si>
  <si>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</si>
  <si>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</si>
  <si>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</si>
  <si>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</si>
  <si>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</si>
  <si>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</si>
  <si>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</si>
  <si>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</si>
  <si>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</si>
  <si>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</si>
  <si>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</si>
  <si>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</si>
  <si>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</si>
  <si>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</si>
  <si>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</si>
  <si>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</si>
  <si>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</si>
  <si>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</si>
  <si>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</si>
  <si>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</si>
  <si>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</si>
  <si>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</si>
  <si>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</si>
  <si>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</si>
  <si>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</si>
  <si>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</si>
  <si>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</si>
  <si>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</si>
  <si>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</si>
  <si>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</si>
  <si>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</si>
  <si>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</si>
  <si>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</si>
  <si>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</si>
  <si>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</si>
  <si>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</si>
  <si>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</si>
  <si>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</si>
  <si>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</si>
  <si>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</si>
  <si>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</si>
  <si>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</si>
  <si>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</si>
  <si>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</si>
  <si>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</si>
  <si>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</si>
  <si>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</si>
  <si>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</si>
  <si>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</si>
  <si>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</si>
  <si>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</si>
  <si>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Jan</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</si>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</sst>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x14ac:knownFonts="1">
    <font>
      <sz val="11"/>
      <color theme="1"/>
      <name val="Aptos Narrow"/>
      <family val="2"/>
      <scheme val="minor"/>
    </font>
    <font>
      <b/>
      <sz val="11"/>
      <color rgb="FFFFFFFF"/>
      <name val="Aptos Narrow"/>
      <family val="2"/>
      <scheme val="minor"/>
    </font>
    <font>
      <sz val="10"/>
      <color theme="1"/>
      <name val="Aptos"/>
      <family val="2"/>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5">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2" fillId="0" borderId="0" xfId="0" pivotButton="1" applyFont="1"/>
    <xf numFmtId="0" fontId="2" fillId="0" borderId="0" xfId="0" applyFont="1"/>
    <xf numFmtId="165" fontId="2" fillId="0" borderId="0" xfId="0" applyNumberFormat="1" applyFon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74">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name val="Aptos"/>
        <scheme val="none"/>
      </font>
    </dxf>
    <dxf>
      <font>
        <name val="Aptos"/>
        <scheme val="none"/>
      </font>
    </dxf>
    <dxf>
      <font>
        <name val="Aptos"/>
        <scheme val="none"/>
      </font>
    </dxf>
    <dxf>
      <numFmt numFmtId="3" formatCode="#,##0"/>
    </dxf>
    <dxf>
      <numFmt numFmtId="165" formatCode="#,##0,&quot;K&quo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numFmt numFmtId="165" formatCode="#,##0,&quot;K&quot;"/>
    </dxf>
    <dxf>
      <numFmt numFmtId="165" formatCode="#,##0,&quot;K&quot;"/>
    </dxf>
    <dxf>
      <numFmt numFmtId="164" formatCode="dd\-mmm\-yyyy"/>
    </dxf>
    <dxf>
      <font>
        <b/>
        <color rgb="FFFFFFFF"/>
      </font>
      <fill>
        <patternFill patternType="solid">
          <fgColor indexed="64"/>
          <bgColor rgb="FF0F4C1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50737</c:v>
                </c:pt>
                <c:pt idx="1">
                  <c:v>321958</c:v>
                </c:pt>
                <c:pt idx="2">
                  <c:v>254638</c:v>
                </c:pt>
                <c:pt idx="3">
                  <c:v>116251</c:v>
                </c:pt>
                <c:pt idx="4">
                  <c:v>399968</c:v>
                </c:pt>
                <c:pt idx="5">
                  <c:v>236426</c:v>
                </c:pt>
              </c:numCache>
            </c:numRef>
          </c:val>
          <c:extLst>
            <c:ext xmlns:c16="http://schemas.microsoft.com/office/drawing/2014/chart" uri="{C3380CC4-5D6E-409C-BE32-E72D297353CC}">
              <c16:uniqueId val="{00000000-DDF7-4B81-8D79-A9582654F796}"/>
            </c:ext>
          </c:extLst>
        </c:ser>
        <c:dLbls>
          <c:showLegendKey val="0"/>
          <c:showVal val="0"/>
          <c:showCatName val="0"/>
          <c:showSerName val="0"/>
          <c:showPercent val="0"/>
          <c:showBubbleSize val="0"/>
        </c:dLbls>
        <c:gapWidth val="150"/>
        <c:axId val="539996879"/>
        <c:axId val="458453615"/>
      </c:barChart>
      <c:catAx>
        <c:axId val="539996879"/>
        <c:scaling>
          <c:orientation val="minMax"/>
        </c:scaling>
        <c:delete val="0"/>
        <c:axPos val="b"/>
        <c:numFmt formatCode="General" sourceLinked="1"/>
        <c:majorTickMark val="out"/>
        <c:minorTickMark val="none"/>
        <c:tickLblPos val="nextTo"/>
        <c:spPr>
          <a:ln>
            <a:solidFill>
              <a:srgbClr val="D2D2D2"/>
            </a:solidFill>
          </a:ln>
        </c:spPr>
        <c:crossAx val="458453615"/>
        <c:crosses val="autoZero"/>
        <c:auto val="1"/>
        <c:lblAlgn val="ctr"/>
        <c:lblOffset val="100"/>
        <c:noMultiLvlLbl val="0"/>
      </c:catAx>
      <c:valAx>
        <c:axId val="458453615"/>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539996879"/>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overlay val="0"/>
    </c:title>
    <c:autoTitleDeleted val="0"/>
    <c:plotArea>
      <c:layout>
        <c:manualLayout>
          <c:xMode val="edge"/>
          <c:yMode val="edge"/>
          <c:x val="3.876719030080214E-2"/>
          <c:y val="0.14040905955301919"/>
          <c:w val="0.27696403642421863"/>
          <c:h val="0.7508800081525786"/>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D5D2-4A4E-BF41-CAE64079D27C}"/>
              </c:ext>
            </c:extLst>
          </c:dPt>
          <c:dPt>
            <c:idx val="1"/>
            <c:bubble3D val="0"/>
            <c:spPr>
              <a:solidFill>
                <a:srgbClr val="84C637"/>
              </a:solidFill>
              <a:ln>
                <a:solidFill>
                  <a:srgbClr val="FFFFFF"/>
                </a:solidFill>
              </a:ln>
            </c:spPr>
            <c:extLst>
              <c:ext xmlns:c16="http://schemas.microsoft.com/office/drawing/2014/chart" uri="{C3380CC4-5D6E-409C-BE32-E72D297353CC}">
                <c16:uniqueId val="{00000002-D5D2-4A4E-BF41-CAE64079D27C}"/>
              </c:ext>
            </c:extLst>
          </c:dPt>
          <c:dPt>
            <c:idx val="2"/>
            <c:bubble3D val="0"/>
            <c:spPr>
              <a:solidFill>
                <a:srgbClr val="5DB13A"/>
              </a:solidFill>
              <a:ln>
                <a:solidFill>
                  <a:srgbClr val="FFFFFF"/>
                </a:solidFill>
              </a:ln>
            </c:spPr>
            <c:extLst>
              <c:ext xmlns:c16="http://schemas.microsoft.com/office/drawing/2014/chart" uri="{C3380CC4-5D6E-409C-BE32-E72D297353CC}">
                <c16:uniqueId val="{00000003-D5D2-4A4E-BF41-CAE64079D27C}"/>
              </c:ext>
            </c:extLst>
          </c:dPt>
          <c:dPt>
            <c:idx val="3"/>
            <c:bubble3D val="0"/>
            <c:spPr>
              <a:solidFill>
                <a:srgbClr val="168A96"/>
              </a:solidFill>
              <a:ln>
                <a:solidFill>
                  <a:srgbClr val="FFFFFF"/>
                </a:solidFill>
              </a:ln>
            </c:spPr>
            <c:extLst>
              <c:ext xmlns:c16="http://schemas.microsoft.com/office/drawing/2014/chart" uri="{C3380CC4-5D6E-409C-BE32-E72D297353CC}">
                <c16:uniqueId val="{00000004-D5D2-4A4E-BF41-CAE64079D27C}"/>
              </c:ext>
            </c:extLst>
          </c:dPt>
          <c:dPt>
            <c:idx val="4"/>
            <c:bubble3D val="0"/>
            <c:spPr>
              <a:solidFill>
                <a:srgbClr val="7030A0"/>
              </a:solidFill>
              <a:ln>
                <a:solidFill>
                  <a:srgbClr val="FFFFFF"/>
                </a:solidFill>
              </a:ln>
            </c:spPr>
            <c:extLst>
              <c:ext xmlns:c16="http://schemas.microsoft.com/office/drawing/2014/chart" uri="{C3380CC4-5D6E-409C-BE32-E72D297353CC}">
                <c16:uniqueId val="{00000005-D5D2-4A4E-BF41-CAE64079D27C}"/>
              </c:ext>
            </c:extLst>
          </c:dPt>
          <c:dPt>
            <c:idx val="5"/>
            <c:bubble3D val="0"/>
            <c:spPr>
              <a:solidFill>
                <a:srgbClr val="618724"/>
              </a:solidFill>
              <a:ln>
                <a:solidFill>
                  <a:srgbClr val="FFFFFF"/>
                </a:solidFill>
              </a:ln>
            </c:spPr>
            <c:extLst>
              <c:ext xmlns:c16="http://schemas.microsoft.com/office/drawing/2014/chart" uri="{C3380CC4-5D6E-409C-BE32-E72D297353CC}">
                <c16:uniqueId val="{00000006-D5D2-4A4E-BF41-CAE64079D27C}"/>
              </c:ext>
            </c:extLst>
          </c:dPt>
          <c:dPt>
            <c:idx val="6"/>
            <c:bubble3D val="0"/>
            <c:spPr>
              <a:solidFill>
                <a:srgbClr val="91A0AA"/>
              </a:solidFill>
              <a:ln>
                <a:solidFill>
                  <a:srgbClr val="FFFFFF"/>
                </a:solidFill>
              </a:ln>
            </c:spPr>
            <c:extLst>
              <c:ext xmlns:c16="http://schemas.microsoft.com/office/drawing/2014/chart" uri="{C3380CC4-5D6E-409C-BE32-E72D297353CC}">
                <c16:uniqueId val="{00000007-D5D2-4A4E-BF41-CAE64079D27C}"/>
              </c:ext>
            </c:extLst>
          </c:dPt>
          <c:dPt>
            <c:idx val="7"/>
            <c:bubble3D val="0"/>
            <c:spPr>
              <a:solidFill>
                <a:srgbClr val="ED7D31"/>
              </a:solidFill>
              <a:ln>
                <a:solidFill>
                  <a:srgbClr val="FFFFFF"/>
                </a:solidFill>
              </a:ln>
            </c:spPr>
            <c:extLst>
              <c:ext xmlns:c16="http://schemas.microsoft.com/office/drawing/2014/chart" uri="{C3380CC4-5D6E-409C-BE32-E72D297353CC}">
                <c16:uniqueId val="{00000008-D5D2-4A4E-BF41-CAE64079D27C}"/>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88152</c:v>
                </c:pt>
                <c:pt idx="1">
                  <c:v>388255</c:v>
                </c:pt>
                <c:pt idx="2">
                  <c:v>367052</c:v>
                </c:pt>
                <c:pt idx="3">
                  <c:v>6866</c:v>
                </c:pt>
                <c:pt idx="4">
                  <c:v>115499</c:v>
                </c:pt>
                <c:pt idx="5">
                  <c:v>13058</c:v>
                </c:pt>
                <c:pt idx="6">
                  <c:v>354613</c:v>
                </c:pt>
                <c:pt idx="7">
                  <c:v>46483</c:v>
                </c:pt>
              </c:numCache>
            </c:numRef>
          </c:val>
          <c:extLst>
            <c:ext xmlns:c16="http://schemas.microsoft.com/office/drawing/2014/chart" uri="{C3380CC4-5D6E-409C-BE32-E72D297353CC}">
              <c16:uniqueId val="{00000000-D5D2-4A4E-BF41-CAE64079D27C}"/>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3616332021401725"/>
          <c:y val="0.15003554994630272"/>
          <c:w val="0.46383664364295679"/>
          <c:h val="0.72177757570531564"/>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Grand Total</c:v>
                </c:pt>
                <c:pt idx="2">
                  <c:v>0</c:v>
                </c:pt>
                <c:pt idx="3">
                  <c:v>0</c:v>
                </c:pt>
                <c:pt idx="4">
                  <c:v>0</c:v>
                </c:pt>
                <c:pt idx="5">
                  <c:v>0</c:v>
                </c:pt>
                <c:pt idx="6">
                  <c:v>0</c:v>
                </c:pt>
                <c:pt idx="7">
                  <c:v>0</c:v>
                </c:pt>
                <c:pt idx="8">
                  <c:v>0</c:v>
                </c:pt>
                <c:pt idx="9">
                  <c:v>0</c:v>
                </c:pt>
                <c:pt idx="10">
                  <c:v>0</c:v>
                </c:pt>
                <c:pt idx="11">
                  <c:v>0</c:v>
                </c:pt>
              </c:strCache>
            </c:strRef>
          </c:cat>
          <c:val>
            <c:numRef>
              <c:f>Pivot!$H$51:$H$62</c:f>
              <c:numCache>
                <c:formatCode>#,##0,"K"</c:formatCode>
                <c:ptCount val="12"/>
                <c:pt idx="0">
                  <c:v>1379978</c:v>
                </c:pt>
                <c:pt idx="1">
                  <c:v>1379978</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229C-4394-A82F-EED5F7F7B862}"/>
            </c:ext>
          </c:extLst>
        </c:ser>
        <c:dLbls>
          <c:showLegendKey val="0"/>
          <c:showVal val="0"/>
          <c:showCatName val="0"/>
          <c:showSerName val="0"/>
          <c:showPercent val="0"/>
          <c:showBubbleSize val="0"/>
        </c:dLbls>
        <c:marker val="1"/>
        <c:smooth val="0"/>
        <c:axId val="547243247"/>
        <c:axId val="458460815"/>
      </c:lineChart>
      <c:catAx>
        <c:axId val="547243247"/>
        <c:scaling>
          <c:orientation val="minMax"/>
        </c:scaling>
        <c:delete val="0"/>
        <c:axPos val="b"/>
        <c:numFmt formatCode="General" sourceLinked="1"/>
        <c:majorTickMark val="out"/>
        <c:minorTickMark val="none"/>
        <c:tickLblPos val="nextTo"/>
        <c:spPr>
          <a:ln>
            <a:solidFill>
              <a:srgbClr val="D2D2D2"/>
            </a:solidFill>
          </a:ln>
        </c:spPr>
        <c:crossAx val="458460815"/>
        <c:crosses val="autoZero"/>
        <c:auto val="1"/>
        <c:lblAlgn val="ctr"/>
        <c:lblOffset val="100"/>
        <c:noMultiLvlLbl val="0"/>
      </c:catAx>
      <c:valAx>
        <c:axId val="458460815"/>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547243247"/>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50737</c:v>
                </c:pt>
                <c:pt idx="1">
                  <c:v>321958</c:v>
                </c:pt>
                <c:pt idx="2">
                  <c:v>254638</c:v>
                </c:pt>
                <c:pt idx="3">
                  <c:v>116251</c:v>
                </c:pt>
                <c:pt idx="4">
                  <c:v>399968</c:v>
                </c:pt>
                <c:pt idx="5">
                  <c:v>236426</c:v>
                </c:pt>
              </c:numCache>
            </c:numRef>
          </c:val>
          <c:extLst>
            <c:ext xmlns:c16="http://schemas.microsoft.com/office/drawing/2014/chart" uri="{C3380CC4-5D6E-409C-BE32-E72D297353CC}">
              <c16:uniqueId val="{00000000-644A-4849-A33E-FEF18FAE4FE2}"/>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55924</c:v>
                </c:pt>
                <c:pt idx="1">
                  <c:v>369375</c:v>
                </c:pt>
                <c:pt idx="2">
                  <c:v>338039</c:v>
                </c:pt>
                <c:pt idx="3">
                  <c:v>128484</c:v>
                </c:pt>
                <c:pt idx="4">
                  <c:v>535106</c:v>
                </c:pt>
                <c:pt idx="5">
                  <c:v>299316</c:v>
                </c:pt>
              </c:numCache>
            </c:numRef>
          </c:val>
          <c:extLst>
            <c:ext xmlns:c16="http://schemas.microsoft.com/office/drawing/2014/chart" uri="{C3380CC4-5D6E-409C-BE32-E72D297353CC}">
              <c16:uniqueId val="{00000001-644A-4849-A33E-FEF18FAE4FE2}"/>
            </c:ext>
          </c:extLst>
        </c:ser>
        <c:dLbls>
          <c:showLegendKey val="0"/>
          <c:showVal val="0"/>
          <c:showCatName val="0"/>
          <c:showSerName val="0"/>
          <c:showPercent val="0"/>
          <c:showBubbleSize val="0"/>
        </c:dLbls>
        <c:gapWidth val="150"/>
        <c:axId val="549900463"/>
        <c:axId val="458466095"/>
      </c:barChart>
      <c:catAx>
        <c:axId val="549900463"/>
        <c:scaling>
          <c:orientation val="minMax"/>
        </c:scaling>
        <c:delete val="0"/>
        <c:axPos val="b"/>
        <c:numFmt formatCode="General" sourceLinked="1"/>
        <c:majorTickMark val="out"/>
        <c:minorTickMark val="none"/>
        <c:tickLblPos val="nextTo"/>
        <c:spPr>
          <a:ln>
            <a:solidFill>
              <a:srgbClr val="D2D2D2"/>
            </a:solidFill>
          </a:ln>
        </c:spPr>
        <c:crossAx val="458466095"/>
        <c:crosses val="autoZero"/>
        <c:auto val="1"/>
        <c:lblAlgn val="ctr"/>
        <c:lblOffset val="100"/>
        <c:noMultiLvlLbl val="0"/>
      </c:catAx>
      <c:valAx>
        <c:axId val="458466095"/>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549900463"/>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395197</c:v>
                </c:pt>
                <c:pt idx="1">
                  <c:v>277085</c:v>
                </c:pt>
                <c:pt idx="2">
                  <c:v>371044</c:v>
                </c:pt>
                <c:pt idx="3">
                  <c:v>336652</c:v>
                </c:pt>
              </c:numCache>
            </c:numRef>
          </c:val>
          <c:extLst>
            <c:ext xmlns:c16="http://schemas.microsoft.com/office/drawing/2014/chart" uri="{C3380CC4-5D6E-409C-BE32-E72D297353CC}">
              <c16:uniqueId val="{00000000-CA4B-438D-9494-3A26BF94DD5B}"/>
            </c:ext>
          </c:extLst>
        </c:ser>
        <c:dLbls>
          <c:showLegendKey val="0"/>
          <c:showVal val="0"/>
          <c:showCatName val="0"/>
          <c:showSerName val="0"/>
          <c:showPercent val="0"/>
          <c:showBubbleSize val="0"/>
        </c:dLbls>
        <c:gapWidth val="70"/>
        <c:axId val="550044079"/>
        <c:axId val="458475215"/>
      </c:barChart>
      <c:catAx>
        <c:axId val="550044079"/>
        <c:scaling>
          <c:orientation val="minMax"/>
        </c:scaling>
        <c:delete val="0"/>
        <c:axPos val="l"/>
        <c:numFmt formatCode="General" sourceLinked="1"/>
        <c:majorTickMark val="out"/>
        <c:minorTickMark val="none"/>
        <c:tickLblPos val="nextTo"/>
        <c:spPr>
          <a:ln>
            <a:solidFill>
              <a:srgbClr val="D2D2D2"/>
            </a:solidFill>
          </a:ln>
        </c:spPr>
        <c:crossAx val="458475215"/>
        <c:crosses val="autoZero"/>
        <c:auto val="1"/>
        <c:lblAlgn val="ctr"/>
        <c:lblOffset val="100"/>
        <c:noMultiLvlLbl val="0"/>
      </c:catAx>
      <c:valAx>
        <c:axId val="458475215"/>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550044079"/>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F27142BF-760D-1D0D-E3F1-8C28F39DB469}"/>
            </a:ext>
          </a:extLst>
        </xdr:cNvPr>
        <xdr:cNvSpPr/>
      </xdr:nvSpPr>
      <xdr:spPr>
        <a:xfrm>
          <a:off x="0" y="0"/>
          <a:ext cx="16573500" cy="838200"/>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152400</xdr:rowOff>
    </xdr:from>
    <xdr:to>
      <xdr:col>1</xdr:col>
      <xdr:colOff>133350</xdr:colOff>
      <xdr:row>2</xdr:row>
      <xdr:rowOff>127000</xdr:rowOff>
    </xdr:to>
    <xdr:sp macro="" textlink="">
      <xdr:nvSpPr>
        <xdr:cNvPr id="3" name="Oval 2">
          <a:extLst>
            <a:ext uri="{FF2B5EF4-FFF2-40B4-BE49-F238E27FC236}">
              <a16:creationId xmlns:a16="http://schemas.microsoft.com/office/drawing/2014/main" id="{2BAEA100-0137-E932-1E86-E1293AA330D7}"/>
            </a:ext>
          </a:extLst>
        </xdr:cNvPr>
        <xdr:cNvSpPr/>
      </xdr:nvSpPr>
      <xdr:spPr>
        <a:xfrm>
          <a:off x="152400" y="152400"/>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234950</xdr:colOff>
      <xdr:row>0</xdr:row>
      <xdr:rowOff>0</xdr:rowOff>
    </xdr:from>
    <xdr:to>
      <xdr:col>25</xdr:col>
      <xdr:colOff>120650</xdr:colOff>
      <xdr:row>3</xdr:row>
      <xdr:rowOff>0</xdr:rowOff>
    </xdr:to>
    <xdr:sp macro="" textlink="">
      <xdr:nvSpPr>
        <xdr:cNvPr id="4" name="TextBox 3">
          <a:extLst>
            <a:ext uri="{FF2B5EF4-FFF2-40B4-BE49-F238E27FC236}">
              <a16:creationId xmlns:a16="http://schemas.microsoft.com/office/drawing/2014/main" id="{7B96D8F6-C8D5-9FF1-E1D1-CD0D015B3D9E}"/>
            </a:ext>
          </a:extLst>
        </xdr:cNvPr>
        <xdr:cNvSpPr txBox="1"/>
      </xdr:nvSpPr>
      <xdr:spPr>
        <a:xfrm>
          <a:off x="787400" y="0"/>
          <a:ext cx="13144500" cy="838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222250</xdr:colOff>
      <xdr:row>0</xdr:row>
      <xdr:rowOff>50800</xdr:rowOff>
    </xdr:from>
    <xdr:to>
      <xdr:col>29</xdr:col>
      <xdr:colOff>425450</xdr:colOff>
      <xdr:row>2</xdr:row>
      <xdr:rowOff>228600</xdr:rowOff>
    </xdr:to>
    <xdr:sp macro="" textlink="">
      <xdr:nvSpPr>
        <xdr:cNvPr id="5" name="TextBox 4">
          <a:extLst>
            <a:ext uri="{FF2B5EF4-FFF2-40B4-BE49-F238E27FC236}">
              <a16:creationId xmlns:a16="http://schemas.microsoft.com/office/drawing/2014/main" id="{CFBAE8DE-DB87-7270-BA0F-D8E5A82783A6}"/>
            </a:ext>
          </a:extLst>
        </xdr:cNvPr>
        <xdr:cNvSpPr txBox="1"/>
      </xdr:nvSpPr>
      <xdr:spPr>
        <a:xfrm>
          <a:off x="14033500" y="50800"/>
          <a:ext cx="2413000" cy="736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Aug 12,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36FA492D-9082-572E-2F79-4F474A478DCD}"/>
            </a:ext>
          </a:extLst>
        </xdr:cNvPr>
        <xdr:cNvSpPr/>
      </xdr:nvSpPr>
      <xdr:spPr>
        <a:xfrm>
          <a:off x="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57150</xdr:colOff>
      <xdr:row>7</xdr:row>
      <xdr:rowOff>0</xdr:rowOff>
    </xdr:to>
    <xdr:sp macro="" textlink="">
      <xdr:nvSpPr>
        <xdr:cNvPr id="7" name="Oval 6">
          <a:extLst>
            <a:ext uri="{FF2B5EF4-FFF2-40B4-BE49-F238E27FC236}">
              <a16:creationId xmlns:a16="http://schemas.microsoft.com/office/drawing/2014/main" id="{767160F0-ED6B-8F7F-DCA7-2E2921098828}"/>
            </a:ext>
          </a:extLst>
        </xdr:cNvPr>
        <xdr:cNvSpPr/>
      </xdr:nvSpPr>
      <xdr:spPr>
        <a:xfrm>
          <a:off x="127000" y="127000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133350</xdr:colOff>
      <xdr:row>4</xdr:row>
      <xdr:rowOff>101600</xdr:rowOff>
    </xdr:from>
    <xdr:to>
      <xdr:col>4</xdr:col>
      <xdr:colOff>501650</xdr:colOff>
      <xdr:row>5</xdr:row>
      <xdr:rowOff>152400</xdr:rowOff>
    </xdr:to>
    <xdr:sp macro="" textlink="">
      <xdr:nvSpPr>
        <xdr:cNvPr id="8" name="TextBox 7">
          <a:extLst>
            <a:ext uri="{FF2B5EF4-FFF2-40B4-BE49-F238E27FC236}">
              <a16:creationId xmlns:a16="http://schemas.microsoft.com/office/drawing/2014/main" id="{47F2DD48-FF93-7ECC-E6B7-350D5CA03465}"/>
            </a:ext>
          </a:extLst>
        </xdr:cNvPr>
        <xdr:cNvSpPr txBox="1"/>
      </xdr:nvSpPr>
      <xdr:spPr>
        <a:xfrm>
          <a:off x="68580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133350</xdr:colOff>
      <xdr:row>5</xdr:row>
      <xdr:rowOff>139700</xdr:rowOff>
    </xdr:from>
    <xdr:to>
      <xdr:col>4</xdr:col>
      <xdr:colOff>501650</xdr:colOff>
      <xdr:row>7</xdr:row>
      <xdr:rowOff>114300</xdr:rowOff>
    </xdr:to>
    <xdr:sp macro="" textlink="Dashboard!$AF$2">
      <xdr:nvSpPr>
        <xdr:cNvPr id="9" name="TextBox 8">
          <a:extLst>
            <a:ext uri="{FF2B5EF4-FFF2-40B4-BE49-F238E27FC236}">
              <a16:creationId xmlns:a16="http://schemas.microsoft.com/office/drawing/2014/main" id="{A6752D41-F641-CC21-C49D-86274D2EF359}"/>
            </a:ext>
          </a:extLst>
        </xdr:cNvPr>
        <xdr:cNvSpPr txBox="1"/>
      </xdr:nvSpPr>
      <xdr:spPr>
        <a:xfrm>
          <a:off x="68580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55A5B31E-B18F-4EB6-9976-FBA2E5FC92D8}" type="TxLink">
            <a:rPr lang="en-US" sz="2800" b="1" i="0" u="none" strike="noStrike">
              <a:solidFill>
                <a:srgbClr val="054A19"/>
              </a:solidFill>
              <a:latin typeface="Aptos"/>
            </a:rPr>
            <a:pPr algn="ctr"/>
            <a:t>1,380K</a:t>
          </a:fld>
          <a:endParaRPr lang="en-IN" sz="2800" b="1">
            <a:solidFill>
              <a:srgbClr val="054A19"/>
            </a:solidFill>
          </a:endParaRPr>
        </a:p>
      </xdr:txBody>
    </xdr:sp>
    <xdr:clientData/>
  </xdr:twoCellAnchor>
  <xdr:twoCellAnchor>
    <xdr:from>
      <xdr:col>1</xdr:col>
      <xdr:colOff>133350</xdr:colOff>
      <xdr:row>7</xdr:row>
      <xdr:rowOff>50800</xdr:rowOff>
    </xdr:from>
    <xdr:to>
      <xdr:col>4</xdr:col>
      <xdr:colOff>501650</xdr:colOff>
      <xdr:row>7</xdr:row>
      <xdr:rowOff>215900</xdr:rowOff>
    </xdr:to>
    <xdr:sp macro="" textlink="">
      <xdr:nvSpPr>
        <xdr:cNvPr id="10" name="TextBox 9">
          <a:extLst>
            <a:ext uri="{FF2B5EF4-FFF2-40B4-BE49-F238E27FC236}">
              <a16:creationId xmlns:a16="http://schemas.microsoft.com/office/drawing/2014/main" id="{D90E25A2-D8D3-48B5-0210-3681584A9096}"/>
            </a:ext>
          </a:extLst>
        </xdr:cNvPr>
        <xdr:cNvSpPr txBox="1"/>
      </xdr:nvSpPr>
      <xdr:spPr>
        <a:xfrm>
          <a:off x="68580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4CD685CD-BC5B-9D42-6381-7564A9FE864D}"/>
            </a:ext>
          </a:extLst>
        </xdr:cNvPr>
        <xdr:cNvSpPr/>
      </xdr:nvSpPr>
      <xdr:spPr>
        <a:xfrm>
          <a:off x="276225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57150</xdr:colOff>
      <xdr:row>7</xdr:row>
      <xdr:rowOff>0</xdr:rowOff>
    </xdr:to>
    <xdr:sp macro="" textlink="">
      <xdr:nvSpPr>
        <xdr:cNvPr id="12" name="Oval 11">
          <a:extLst>
            <a:ext uri="{FF2B5EF4-FFF2-40B4-BE49-F238E27FC236}">
              <a16:creationId xmlns:a16="http://schemas.microsoft.com/office/drawing/2014/main" id="{EA5B546F-C222-7381-8C1E-8EDCE9155664}"/>
            </a:ext>
          </a:extLst>
        </xdr:cNvPr>
        <xdr:cNvSpPr/>
      </xdr:nvSpPr>
      <xdr:spPr>
        <a:xfrm>
          <a:off x="2889250" y="127000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133350</xdr:colOff>
      <xdr:row>4</xdr:row>
      <xdr:rowOff>101600</xdr:rowOff>
    </xdr:from>
    <xdr:to>
      <xdr:col>9</xdr:col>
      <xdr:colOff>501650</xdr:colOff>
      <xdr:row>5</xdr:row>
      <xdr:rowOff>152400</xdr:rowOff>
    </xdr:to>
    <xdr:sp macro="" textlink="">
      <xdr:nvSpPr>
        <xdr:cNvPr id="13" name="TextBox 12">
          <a:extLst>
            <a:ext uri="{FF2B5EF4-FFF2-40B4-BE49-F238E27FC236}">
              <a16:creationId xmlns:a16="http://schemas.microsoft.com/office/drawing/2014/main" id="{B667B220-5975-177C-3638-6AA2229E9F05}"/>
            </a:ext>
          </a:extLst>
        </xdr:cNvPr>
        <xdr:cNvSpPr txBox="1"/>
      </xdr:nvSpPr>
      <xdr:spPr>
        <a:xfrm>
          <a:off x="344805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133350</xdr:colOff>
      <xdr:row>5</xdr:row>
      <xdr:rowOff>139700</xdr:rowOff>
    </xdr:from>
    <xdr:to>
      <xdr:col>9</xdr:col>
      <xdr:colOff>501650</xdr:colOff>
      <xdr:row>7</xdr:row>
      <xdr:rowOff>114300</xdr:rowOff>
    </xdr:to>
    <xdr:sp macro="" textlink="Dashboard!$AF$3">
      <xdr:nvSpPr>
        <xdr:cNvPr id="14" name="TextBox 13">
          <a:extLst>
            <a:ext uri="{FF2B5EF4-FFF2-40B4-BE49-F238E27FC236}">
              <a16:creationId xmlns:a16="http://schemas.microsoft.com/office/drawing/2014/main" id="{01AD20CB-6899-A37E-726B-FF0E4DF00806}"/>
            </a:ext>
          </a:extLst>
        </xdr:cNvPr>
        <xdr:cNvSpPr txBox="1"/>
      </xdr:nvSpPr>
      <xdr:spPr>
        <a:xfrm>
          <a:off x="344805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DBCF013A-445E-42B7-824D-813DCAAA6EBA}" type="TxLink">
            <a:rPr lang="en-US" sz="2800" b="1" i="0" u="none" strike="noStrike">
              <a:solidFill>
                <a:srgbClr val="054A19"/>
              </a:solidFill>
              <a:latin typeface="Aptos"/>
            </a:rPr>
            <a:pPr algn="ctr"/>
            <a:t>1,726K</a:t>
          </a:fld>
          <a:endParaRPr lang="en-IN" sz="2800" b="1">
            <a:solidFill>
              <a:srgbClr val="054A19"/>
            </a:solidFill>
          </a:endParaRPr>
        </a:p>
      </xdr:txBody>
    </xdr:sp>
    <xdr:clientData/>
  </xdr:twoCellAnchor>
  <xdr:twoCellAnchor>
    <xdr:from>
      <xdr:col>6</xdr:col>
      <xdr:colOff>133350</xdr:colOff>
      <xdr:row>7</xdr:row>
      <xdr:rowOff>50800</xdr:rowOff>
    </xdr:from>
    <xdr:to>
      <xdr:col>9</xdr:col>
      <xdr:colOff>501650</xdr:colOff>
      <xdr:row>7</xdr:row>
      <xdr:rowOff>215900</xdr:rowOff>
    </xdr:to>
    <xdr:sp macro="" textlink="">
      <xdr:nvSpPr>
        <xdr:cNvPr id="15" name="TextBox 14">
          <a:extLst>
            <a:ext uri="{FF2B5EF4-FFF2-40B4-BE49-F238E27FC236}">
              <a16:creationId xmlns:a16="http://schemas.microsoft.com/office/drawing/2014/main" id="{11EE1572-D678-211D-6870-DC722B951539}"/>
            </a:ext>
          </a:extLst>
        </xdr:cNvPr>
        <xdr:cNvSpPr txBox="1"/>
      </xdr:nvSpPr>
      <xdr:spPr>
        <a:xfrm>
          <a:off x="344805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9D470508-C25B-5B1B-7BF2-E7AE04F82B87}"/>
            </a:ext>
          </a:extLst>
        </xdr:cNvPr>
        <xdr:cNvSpPr/>
      </xdr:nvSpPr>
      <xdr:spPr>
        <a:xfrm>
          <a:off x="552450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57150</xdr:colOff>
      <xdr:row>7</xdr:row>
      <xdr:rowOff>0</xdr:rowOff>
    </xdr:to>
    <xdr:sp macro="" textlink="">
      <xdr:nvSpPr>
        <xdr:cNvPr id="17" name="Oval 16">
          <a:extLst>
            <a:ext uri="{FF2B5EF4-FFF2-40B4-BE49-F238E27FC236}">
              <a16:creationId xmlns:a16="http://schemas.microsoft.com/office/drawing/2014/main" id="{71B7D42C-F778-16F5-4121-2A06D5ABC09C}"/>
            </a:ext>
          </a:extLst>
        </xdr:cNvPr>
        <xdr:cNvSpPr/>
      </xdr:nvSpPr>
      <xdr:spPr>
        <a:xfrm>
          <a:off x="5651500" y="127000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133350</xdr:colOff>
      <xdr:row>4</xdr:row>
      <xdr:rowOff>101600</xdr:rowOff>
    </xdr:from>
    <xdr:to>
      <xdr:col>14</xdr:col>
      <xdr:colOff>501650</xdr:colOff>
      <xdr:row>5</xdr:row>
      <xdr:rowOff>152400</xdr:rowOff>
    </xdr:to>
    <xdr:sp macro="" textlink="">
      <xdr:nvSpPr>
        <xdr:cNvPr id="18" name="TextBox 17">
          <a:extLst>
            <a:ext uri="{FF2B5EF4-FFF2-40B4-BE49-F238E27FC236}">
              <a16:creationId xmlns:a16="http://schemas.microsoft.com/office/drawing/2014/main" id="{9636D23F-2288-9FBF-21F4-1C244D0A1799}"/>
            </a:ext>
          </a:extLst>
        </xdr:cNvPr>
        <xdr:cNvSpPr txBox="1"/>
      </xdr:nvSpPr>
      <xdr:spPr>
        <a:xfrm>
          <a:off x="621030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133350</xdr:colOff>
      <xdr:row>5</xdr:row>
      <xdr:rowOff>139700</xdr:rowOff>
    </xdr:from>
    <xdr:to>
      <xdr:col>14</xdr:col>
      <xdr:colOff>501650</xdr:colOff>
      <xdr:row>7</xdr:row>
      <xdr:rowOff>114300</xdr:rowOff>
    </xdr:to>
    <xdr:sp macro="" textlink="Dashboard!$AF$4">
      <xdr:nvSpPr>
        <xdr:cNvPr id="19" name="TextBox 18">
          <a:extLst>
            <a:ext uri="{FF2B5EF4-FFF2-40B4-BE49-F238E27FC236}">
              <a16:creationId xmlns:a16="http://schemas.microsoft.com/office/drawing/2014/main" id="{FC687C3D-6B17-7684-17C4-AD9EE857856A}"/>
            </a:ext>
          </a:extLst>
        </xdr:cNvPr>
        <xdr:cNvSpPr txBox="1"/>
      </xdr:nvSpPr>
      <xdr:spPr>
        <a:xfrm>
          <a:off x="621030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F45C2F7-C030-4D67-AF76-173B74E21BBB}" type="TxLink">
            <a:rPr lang="en-US" sz="2800" b="1" i="0" u="none" strike="noStrike">
              <a:solidFill>
                <a:srgbClr val="054A19"/>
              </a:solidFill>
              <a:latin typeface="Aptos"/>
            </a:rPr>
            <a:pPr algn="ctr"/>
            <a:t>346K</a:t>
          </a:fld>
          <a:endParaRPr lang="en-IN" sz="2800" b="1">
            <a:solidFill>
              <a:srgbClr val="054A19"/>
            </a:solidFill>
          </a:endParaRPr>
        </a:p>
      </xdr:txBody>
    </xdr:sp>
    <xdr:clientData/>
  </xdr:twoCellAnchor>
  <xdr:twoCellAnchor>
    <xdr:from>
      <xdr:col>11</xdr:col>
      <xdr:colOff>133350</xdr:colOff>
      <xdr:row>7</xdr:row>
      <xdr:rowOff>50800</xdr:rowOff>
    </xdr:from>
    <xdr:to>
      <xdr:col>14</xdr:col>
      <xdr:colOff>501650</xdr:colOff>
      <xdr:row>7</xdr:row>
      <xdr:rowOff>215900</xdr:rowOff>
    </xdr:to>
    <xdr:sp macro="" textlink="">
      <xdr:nvSpPr>
        <xdr:cNvPr id="20" name="TextBox 19">
          <a:extLst>
            <a:ext uri="{FF2B5EF4-FFF2-40B4-BE49-F238E27FC236}">
              <a16:creationId xmlns:a16="http://schemas.microsoft.com/office/drawing/2014/main" id="{B5BB499D-299D-A5CA-F241-F16BD1D741A5}"/>
            </a:ext>
          </a:extLst>
        </xdr:cNvPr>
        <xdr:cNvSpPr txBox="1"/>
      </xdr:nvSpPr>
      <xdr:spPr>
        <a:xfrm>
          <a:off x="621030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A537A82C-85AC-CE66-51EB-672586C7334C}"/>
            </a:ext>
          </a:extLst>
        </xdr:cNvPr>
        <xdr:cNvSpPr/>
      </xdr:nvSpPr>
      <xdr:spPr>
        <a:xfrm>
          <a:off x="828675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57150</xdr:colOff>
      <xdr:row>7</xdr:row>
      <xdr:rowOff>0</xdr:rowOff>
    </xdr:to>
    <xdr:sp macro="" textlink="">
      <xdr:nvSpPr>
        <xdr:cNvPr id="22" name="Oval 21">
          <a:extLst>
            <a:ext uri="{FF2B5EF4-FFF2-40B4-BE49-F238E27FC236}">
              <a16:creationId xmlns:a16="http://schemas.microsoft.com/office/drawing/2014/main" id="{91880D07-8481-DE67-D0F6-F32007296108}"/>
            </a:ext>
          </a:extLst>
        </xdr:cNvPr>
        <xdr:cNvSpPr/>
      </xdr:nvSpPr>
      <xdr:spPr>
        <a:xfrm>
          <a:off x="8413750" y="127000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133350</xdr:colOff>
      <xdr:row>4</xdr:row>
      <xdr:rowOff>101600</xdr:rowOff>
    </xdr:from>
    <xdr:to>
      <xdr:col>19</xdr:col>
      <xdr:colOff>501650</xdr:colOff>
      <xdr:row>5</xdr:row>
      <xdr:rowOff>152400</xdr:rowOff>
    </xdr:to>
    <xdr:sp macro="" textlink="">
      <xdr:nvSpPr>
        <xdr:cNvPr id="23" name="TextBox 22">
          <a:extLst>
            <a:ext uri="{FF2B5EF4-FFF2-40B4-BE49-F238E27FC236}">
              <a16:creationId xmlns:a16="http://schemas.microsoft.com/office/drawing/2014/main" id="{C4D8BE82-824E-3564-20A2-4ACDCF922262}"/>
            </a:ext>
          </a:extLst>
        </xdr:cNvPr>
        <xdr:cNvSpPr txBox="1"/>
      </xdr:nvSpPr>
      <xdr:spPr>
        <a:xfrm>
          <a:off x="897255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133350</xdr:colOff>
      <xdr:row>5</xdr:row>
      <xdr:rowOff>139700</xdr:rowOff>
    </xdr:from>
    <xdr:to>
      <xdr:col>19</xdr:col>
      <xdr:colOff>501650</xdr:colOff>
      <xdr:row>7</xdr:row>
      <xdr:rowOff>114300</xdr:rowOff>
    </xdr:to>
    <xdr:sp macro="" textlink="Dashboard!$AF$5">
      <xdr:nvSpPr>
        <xdr:cNvPr id="24" name="TextBox 23">
          <a:extLst>
            <a:ext uri="{FF2B5EF4-FFF2-40B4-BE49-F238E27FC236}">
              <a16:creationId xmlns:a16="http://schemas.microsoft.com/office/drawing/2014/main" id="{59FCD221-8931-DBF0-1EE2-BB7D109F883F}"/>
            </a:ext>
          </a:extLst>
        </xdr:cNvPr>
        <xdr:cNvSpPr txBox="1"/>
      </xdr:nvSpPr>
      <xdr:spPr>
        <a:xfrm>
          <a:off x="897255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7728EBA-BC93-4190-BE9F-7FB1759587BF}" type="TxLink">
            <a:rPr lang="en-US" sz="2800" b="1" i="0" u="none" strike="noStrike">
              <a:solidFill>
                <a:srgbClr val="054A19"/>
              </a:solidFill>
              <a:latin typeface="Aptos"/>
            </a:rPr>
            <a:pPr algn="ctr"/>
            <a:t>34</a:t>
          </a:fld>
          <a:endParaRPr lang="en-IN" sz="2800" b="1">
            <a:solidFill>
              <a:srgbClr val="054A19"/>
            </a:solidFill>
          </a:endParaRPr>
        </a:p>
      </xdr:txBody>
    </xdr:sp>
    <xdr:clientData/>
  </xdr:twoCellAnchor>
  <xdr:twoCellAnchor>
    <xdr:from>
      <xdr:col>16</xdr:col>
      <xdr:colOff>133350</xdr:colOff>
      <xdr:row>7</xdr:row>
      <xdr:rowOff>50800</xdr:rowOff>
    </xdr:from>
    <xdr:to>
      <xdr:col>19</xdr:col>
      <xdr:colOff>501650</xdr:colOff>
      <xdr:row>7</xdr:row>
      <xdr:rowOff>215900</xdr:rowOff>
    </xdr:to>
    <xdr:sp macro="" textlink="">
      <xdr:nvSpPr>
        <xdr:cNvPr id="25" name="TextBox 24">
          <a:extLst>
            <a:ext uri="{FF2B5EF4-FFF2-40B4-BE49-F238E27FC236}">
              <a16:creationId xmlns:a16="http://schemas.microsoft.com/office/drawing/2014/main" id="{E9617986-FC15-2340-3117-64F4CCD95299}"/>
            </a:ext>
          </a:extLst>
        </xdr:cNvPr>
        <xdr:cNvSpPr txBox="1"/>
      </xdr:nvSpPr>
      <xdr:spPr>
        <a:xfrm>
          <a:off x="897255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B83313F4-21FF-7C4E-E639-78259480F812}"/>
            </a:ext>
          </a:extLst>
        </xdr:cNvPr>
        <xdr:cNvSpPr/>
      </xdr:nvSpPr>
      <xdr:spPr>
        <a:xfrm>
          <a:off x="1104900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57150</xdr:colOff>
      <xdr:row>7</xdr:row>
      <xdr:rowOff>0</xdr:rowOff>
    </xdr:to>
    <xdr:sp macro="" textlink="">
      <xdr:nvSpPr>
        <xdr:cNvPr id="27" name="Oval 26">
          <a:extLst>
            <a:ext uri="{FF2B5EF4-FFF2-40B4-BE49-F238E27FC236}">
              <a16:creationId xmlns:a16="http://schemas.microsoft.com/office/drawing/2014/main" id="{A37DCB94-2AC1-C186-BCCC-0C8D9F3B5C4C}"/>
            </a:ext>
          </a:extLst>
        </xdr:cNvPr>
        <xdr:cNvSpPr/>
      </xdr:nvSpPr>
      <xdr:spPr>
        <a:xfrm>
          <a:off x="11176000" y="127000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133350</xdr:colOff>
      <xdr:row>4</xdr:row>
      <xdr:rowOff>101600</xdr:rowOff>
    </xdr:from>
    <xdr:to>
      <xdr:col>24</xdr:col>
      <xdr:colOff>501650</xdr:colOff>
      <xdr:row>5</xdr:row>
      <xdr:rowOff>152400</xdr:rowOff>
    </xdr:to>
    <xdr:sp macro="" textlink="">
      <xdr:nvSpPr>
        <xdr:cNvPr id="28" name="TextBox 27">
          <a:extLst>
            <a:ext uri="{FF2B5EF4-FFF2-40B4-BE49-F238E27FC236}">
              <a16:creationId xmlns:a16="http://schemas.microsoft.com/office/drawing/2014/main" id="{21E1CD5B-B99E-AC0B-7CC0-A870AD658287}"/>
            </a:ext>
          </a:extLst>
        </xdr:cNvPr>
        <xdr:cNvSpPr txBox="1"/>
      </xdr:nvSpPr>
      <xdr:spPr>
        <a:xfrm>
          <a:off x="1173480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133350</xdr:colOff>
      <xdr:row>5</xdr:row>
      <xdr:rowOff>139700</xdr:rowOff>
    </xdr:from>
    <xdr:to>
      <xdr:col>24</xdr:col>
      <xdr:colOff>501650</xdr:colOff>
      <xdr:row>7</xdr:row>
      <xdr:rowOff>114300</xdr:rowOff>
    </xdr:to>
    <xdr:sp macro="" textlink="Dashboard!$AF$6">
      <xdr:nvSpPr>
        <xdr:cNvPr id="29" name="TextBox 28">
          <a:extLst>
            <a:ext uri="{FF2B5EF4-FFF2-40B4-BE49-F238E27FC236}">
              <a16:creationId xmlns:a16="http://schemas.microsoft.com/office/drawing/2014/main" id="{002DAB60-7237-0D98-E5FF-C838CA4D746D}"/>
            </a:ext>
          </a:extLst>
        </xdr:cNvPr>
        <xdr:cNvSpPr txBox="1"/>
      </xdr:nvSpPr>
      <xdr:spPr>
        <a:xfrm>
          <a:off x="1173480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7C71543-B61D-4D20-BDB2-8D92E5F7A2E9}" type="TxLink">
            <a:rPr lang="en-US" sz="2800" b="1" i="0" u="none" strike="noStrike">
              <a:solidFill>
                <a:srgbClr val="054A19"/>
              </a:solidFill>
              <a:latin typeface="Aptos"/>
            </a:rPr>
            <a:pPr algn="ctr"/>
            <a:t>91.2%</a:t>
          </a:fld>
          <a:endParaRPr lang="en-IN" sz="2800" b="1">
            <a:solidFill>
              <a:srgbClr val="054A19"/>
            </a:solidFill>
          </a:endParaRPr>
        </a:p>
      </xdr:txBody>
    </xdr:sp>
    <xdr:clientData/>
  </xdr:twoCellAnchor>
  <xdr:twoCellAnchor>
    <xdr:from>
      <xdr:col>21</xdr:col>
      <xdr:colOff>133350</xdr:colOff>
      <xdr:row>7</xdr:row>
      <xdr:rowOff>50800</xdr:rowOff>
    </xdr:from>
    <xdr:to>
      <xdr:col>24</xdr:col>
      <xdr:colOff>501650</xdr:colOff>
      <xdr:row>7</xdr:row>
      <xdr:rowOff>215900</xdr:rowOff>
    </xdr:to>
    <xdr:sp macro="" textlink="">
      <xdr:nvSpPr>
        <xdr:cNvPr id="30" name="TextBox 29">
          <a:extLst>
            <a:ext uri="{FF2B5EF4-FFF2-40B4-BE49-F238E27FC236}">
              <a16:creationId xmlns:a16="http://schemas.microsoft.com/office/drawing/2014/main" id="{8E4CC19B-52FB-416C-D2EE-901CA3FFDF8F}"/>
            </a:ext>
          </a:extLst>
        </xdr:cNvPr>
        <xdr:cNvSpPr txBox="1"/>
      </xdr:nvSpPr>
      <xdr:spPr>
        <a:xfrm>
          <a:off x="1173480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367F4177-01D5-3AEB-408C-A95B88142121}"/>
            </a:ext>
          </a:extLst>
        </xdr:cNvPr>
        <xdr:cNvSpPr/>
      </xdr:nvSpPr>
      <xdr:spPr>
        <a:xfrm>
          <a:off x="13811250" y="1066800"/>
          <a:ext cx="276225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57150</xdr:colOff>
      <xdr:row>7</xdr:row>
      <xdr:rowOff>0</xdr:rowOff>
    </xdr:to>
    <xdr:sp macro="" textlink="">
      <xdr:nvSpPr>
        <xdr:cNvPr id="32" name="Oval 31">
          <a:extLst>
            <a:ext uri="{FF2B5EF4-FFF2-40B4-BE49-F238E27FC236}">
              <a16:creationId xmlns:a16="http://schemas.microsoft.com/office/drawing/2014/main" id="{DB57A1DA-86D9-CF53-BEAA-6122165787CD}"/>
            </a:ext>
          </a:extLst>
        </xdr:cNvPr>
        <xdr:cNvSpPr/>
      </xdr:nvSpPr>
      <xdr:spPr>
        <a:xfrm>
          <a:off x="13938250" y="127000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133350</xdr:colOff>
      <xdr:row>4</xdr:row>
      <xdr:rowOff>101600</xdr:rowOff>
    </xdr:from>
    <xdr:to>
      <xdr:col>29</xdr:col>
      <xdr:colOff>501650</xdr:colOff>
      <xdr:row>5</xdr:row>
      <xdr:rowOff>152400</xdr:rowOff>
    </xdr:to>
    <xdr:sp macro="" textlink="">
      <xdr:nvSpPr>
        <xdr:cNvPr id="33" name="TextBox 32">
          <a:extLst>
            <a:ext uri="{FF2B5EF4-FFF2-40B4-BE49-F238E27FC236}">
              <a16:creationId xmlns:a16="http://schemas.microsoft.com/office/drawing/2014/main" id="{0A37B9CD-89A6-150D-3AE1-E1FCD7703EEF}"/>
            </a:ext>
          </a:extLst>
        </xdr:cNvPr>
        <xdr:cNvSpPr txBox="1"/>
      </xdr:nvSpPr>
      <xdr:spPr>
        <a:xfrm>
          <a:off x="14497050" y="1168400"/>
          <a:ext cx="202565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133350</xdr:colOff>
      <xdr:row>5</xdr:row>
      <xdr:rowOff>139700</xdr:rowOff>
    </xdr:from>
    <xdr:to>
      <xdr:col>29</xdr:col>
      <xdr:colOff>501650</xdr:colOff>
      <xdr:row>7</xdr:row>
      <xdr:rowOff>114300</xdr:rowOff>
    </xdr:to>
    <xdr:sp macro="" textlink="Dashboard!$AF$7">
      <xdr:nvSpPr>
        <xdr:cNvPr id="34" name="TextBox 33">
          <a:extLst>
            <a:ext uri="{FF2B5EF4-FFF2-40B4-BE49-F238E27FC236}">
              <a16:creationId xmlns:a16="http://schemas.microsoft.com/office/drawing/2014/main" id="{3D0E7158-8A45-8249-8334-320DD48FBD29}"/>
            </a:ext>
          </a:extLst>
        </xdr:cNvPr>
        <xdr:cNvSpPr txBox="1"/>
      </xdr:nvSpPr>
      <xdr:spPr>
        <a:xfrm>
          <a:off x="14497050" y="1435100"/>
          <a:ext cx="202565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2F1C43A-E167-4A92-BBB1-6C8BAE4235D7}" type="TxLink">
            <a:rPr lang="en-US" sz="2800" b="1" i="0" u="none" strike="noStrike">
              <a:solidFill>
                <a:srgbClr val="054A19"/>
              </a:solidFill>
              <a:latin typeface="Aptos"/>
            </a:rPr>
            <a:pPr algn="ctr"/>
            <a:t>41K</a:t>
          </a:fld>
          <a:endParaRPr lang="en-IN" sz="2800" b="1">
            <a:solidFill>
              <a:srgbClr val="054A19"/>
            </a:solidFill>
          </a:endParaRPr>
        </a:p>
      </xdr:txBody>
    </xdr:sp>
    <xdr:clientData/>
  </xdr:twoCellAnchor>
  <xdr:twoCellAnchor>
    <xdr:from>
      <xdr:col>26</xdr:col>
      <xdr:colOff>133350</xdr:colOff>
      <xdr:row>7</xdr:row>
      <xdr:rowOff>50800</xdr:rowOff>
    </xdr:from>
    <xdr:to>
      <xdr:col>29</xdr:col>
      <xdr:colOff>501650</xdr:colOff>
      <xdr:row>7</xdr:row>
      <xdr:rowOff>215900</xdr:rowOff>
    </xdr:to>
    <xdr:sp macro="" textlink="">
      <xdr:nvSpPr>
        <xdr:cNvPr id="35" name="TextBox 34">
          <a:extLst>
            <a:ext uri="{FF2B5EF4-FFF2-40B4-BE49-F238E27FC236}">
              <a16:creationId xmlns:a16="http://schemas.microsoft.com/office/drawing/2014/main" id="{2C8750DA-802C-1A57-16C7-7ED7369951DF}"/>
            </a:ext>
          </a:extLst>
        </xdr:cNvPr>
        <xdr:cNvSpPr txBox="1"/>
      </xdr:nvSpPr>
      <xdr:spPr>
        <a:xfrm>
          <a:off x="14497050" y="1803400"/>
          <a:ext cx="202565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9691DCF5-7D00-4072-3228-7AED25383D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3CEE6116-7701-1496-A581-118AFE0474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B8F11A54-FDA9-B239-41FA-05258BA7A7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8EEC66C9-3F50-D65B-54FC-2A531DFEDC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78F860A7-1568-C344-EBE2-320F4E3F03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21</xdr:col>
      <xdr:colOff>533400</xdr:colOff>
      <xdr:row>9</xdr:row>
      <xdr:rowOff>5443</xdr:rowOff>
    </xdr:from>
    <xdr:to>
      <xdr:col>29</xdr:col>
      <xdr:colOff>526143</xdr:colOff>
      <xdr:row>14</xdr:row>
      <xdr:rowOff>14514</xdr:rowOff>
    </xdr:to>
    <mc:AlternateContent xmlns:mc="http://schemas.openxmlformats.org/markup-compatibility/2006" xmlns:a14="http://schemas.microsoft.com/office/drawing/2010/main">
      <mc:Choice Requires="a14">
        <xdr:graphicFrame macro="">
          <xdr:nvGraphicFramePr>
            <xdr:cNvPr id="41" name="Month">
              <a:extLst>
                <a:ext uri="{FF2B5EF4-FFF2-40B4-BE49-F238E27FC236}">
                  <a16:creationId xmlns:a16="http://schemas.microsoft.com/office/drawing/2014/main" id="{05CEF396-9A89-86D6-8E62-DB399820C2B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268200" y="2215243"/>
              <a:ext cx="4463143" cy="11520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533400</xdr:colOff>
      <xdr:row>14</xdr:row>
      <xdr:rowOff>14514</xdr:rowOff>
    </xdr:from>
    <xdr:to>
      <xdr:col>29</xdr:col>
      <xdr:colOff>526143</xdr:colOff>
      <xdr:row>18</xdr:row>
      <xdr:rowOff>21771</xdr:rowOff>
    </xdr:to>
    <mc:AlternateContent xmlns:mc="http://schemas.openxmlformats.org/markup-compatibility/2006" xmlns:a14="http://schemas.microsoft.com/office/drawing/2010/main">
      <mc:Choice Requires="a14">
        <xdr:graphicFrame macro="">
          <xdr:nvGraphicFramePr>
            <xdr:cNvPr id="42" name="Department">
              <a:extLst>
                <a:ext uri="{FF2B5EF4-FFF2-40B4-BE49-F238E27FC236}">
                  <a16:creationId xmlns:a16="http://schemas.microsoft.com/office/drawing/2014/main" id="{9BB0A78E-661F-F630-E60C-2B0042911FBC}"/>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2268200" y="3367314"/>
              <a:ext cx="4463143" cy="9216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jay Krishna" refreshedDate="46246.550649305558" createdVersion="8" refreshedVersion="8" minRefreshableVersion="3" recordCount="415" xr:uid="{F01ECBD6-9B20-4CB7-9C29-C1A21638B386}">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0664168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A921CD-5809-4CC1-95DF-91561300A07A}" name="PT_ExpenseByDepartment"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h="1" x="1"/>
        <item h="1" x="2"/>
        <item h="1" x="3"/>
        <item h="1" x="4"/>
        <item h="1" x="5"/>
        <item h="1" x="6"/>
        <item h="1" x="7"/>
        <item h="1" x="8"/>
        <item h="1" x="9"/>
        <item h="1" x="10"/>
        <item h="1"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2">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outline="0" fieldPosition="0">
        <references count="1">
          <reference field="2" count="0"/>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2" type="button" dataOnly="0" labelOnly="1" outline="0" axis="axisRow" fieldPosition="0"/>
    </format>
    <format dxfId="2">
      <pivotArea dataOnly="0" labelOnly="1" outline="0" fieldPosition="0">
        <references count="1">
          <reference field="2"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1272CE-2371-4684-870E-81E99B042DC4}" name="PT_KP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P4" firstHeaderRow="0" firstDataRow="1"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x="0"/>
        <item h="1" x="1"/>
        <item h="1" x="2"/>
        <item h="1" x="3"/>
        <item h="1" x="4"/>
        <item h="1" x="5"/>
        <item h="1" x="6"/>
        <item h="1" x="7"/>
        <item h="1" x="8"/>
        <item h="1" x="9"/>
        <item h="1" x="10"/>
        <item h="1"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8">
    <format dxfId="19">
      <pivotArea outline="0" collapsedLevelsAreSubtotals="1" fieldPosition="0"/>
    </format>
    <format dxfId="18">
      <pivotArea outline="0" collapsedLevelsAreSubtotals="1" fieldPosition="0">
        <references count="1">
          <reference field="4294967294" count="1" selected="0">
            <x v="3"/>
          </reference>
        </references>
      </pivotArea>
    </format>
    <format dxfId="17">
      <pivotArea type="all" dataOnly="0" outline="0" fieldPosition="0"/>
    </format>
    <format dxfId="16">
      <pivotArea outline="0" collapsedLevelsAreSubtotals="1" fieldPosition="0"/>
    </format>
    <format dxfId="15">
      <pivotArea dataOnly="0" labelOnly="1" outline="0" fieldPosition="0">
        <references count="1">
          <reference field="4294967294" count="4">
            <x v="0"/>
            <x v="1"/>
            <x v="2"/>
            <x v="3"/>
          </reference>
        </references>
      </pivotArea>
    </format>
    <format dxfId="14">
      <pivotArea type="all" dataOnly="0" outline="0" fieldPosition="0"/>
    </format>
    <format dxfId="13">
      <pivotArea outline="0" collapsedLevelsAreSubtotals="1" fieldPosition="0"/>
    </format>
    <format dxfId="12">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3023FE0-CE46-465D-82A3-4AE67D22ED92}" name="PT_ApprovedStatu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3:L6" firstHeaderRow="0" firstDataRow="1"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h="1" x="1"/>
        <item h="1" x="2"/>
        <item h="1" x="3"/>
        <item h="1" x="4"/>
        <item h="1" x="5"/>
        <item h="1" x="6"/>
        <item h="1" x="7"/>
        <item h="1" x="8"/>
        <item h="1" x="9"/>
        <item h="1" x="10"/>
        <item h="1"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20">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9377EB4-11EC-48E7-B8A8-5E42A20F166E}" name="PT_MonthlyTren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3:H5"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h="1" x="1"/>
        <item h="1" x="2"/>
        <item h="1" x="3"/>
        <item h="1" x="4"/>
        <item h="1" x="5"/>
        <item h="1" x="6"/>
        <item h="1" x="7"/>
        <item h="1" x="8"/>
        <item h="1" x="9"/>
        <item h="1" x="10"/>
        <item h="1" x="11"/>
        <item t="default"/>
      </items>
    </pivotField>
  </pivotFields>
  <rowFields count="1">
    <field x="12"/>
  </rowFields>
  <rowItems count="2">
    <i>
      <x/>
    </i>
    <i t="grand">
      <x/>
    </i>
  </rowItems>
  <colItems count="1">
    <i/>
  </colItems>
  <dataFields count="1">
    <dataField name="Sum of Amount (INR)" fld="5" baseField="0" baseItem="0" numFmtId="165"/>
  </dataFields>
  <formats count="12">
    <format dxfId="32">
      <pivotArea type="all" dataOnly="0" outline="0" fieldPosition="0"/>
    </format>
    <format dxfId="31">
      <pivotArea outline="0" collapsedLevelsAreSubtotals="1" fieldPosition="0"/>
    </format>
    <format dxfId="30">
      <pivotArea field="12" type="button" dataOnly="0" labelOnly="1" outline="0" axis="axisRow" fieldPosition="0"/>
    </format>
    <format dxfId="29">
      <pivotArea dataOnly="0" labelOnly="1" outline="0" fieldPosition="0">
        <references count="1">
          <reference field="12" count="0"/>
        </references>
      </pivotArea>
    </format>
    <format dxfId="28">
      <pivotArea dataOnly="0" labelOnly="1" grandRow="1" outline="0" fieldPosition="0"/>
    </format>
    <format dxfId="27">
      <pivotArea dataOnly="0" labelOnly="1" outline="0" axis="axisValues" fieldPosition="0"/>
    </format>
    <format dxfId="26">
      <pivotArea type="all" dataOnly="0" outline="0" fieldPosition="0"/>
    </format>
    <format dxfId="25">
      <pivotArea outline="0" collapsedLevelsAreSubtotals="1" fieldPosition="0"/>
    </format>
    <format dxfId="24">
      <pivotArea field="12" type="button" dataOnly="0" labelOnly="1" outline="0" axis="axisRow" fieldPosition="0"/>
    </format>
    <format dxfId="23">
      <pivotArea dataOnly="0" labelOnly="1" outline="0" fieldPosition="0">
        <references count="1">
          <reference field="12" count="0"/>
        </references>
      </pivotArea>
    </format>
    <format dxfId="22">
      <pivotArea dataOnly="0" labelOnly="1" grandRow="1" outline="0" fieldPosition="0"/>
    </format>
    <format dxfId="2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98E161-A9CB-4443-8A18-57144D47F129}" name="PT_ExpenseByCategory"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h="1" x="1"/>
        <item h="1" x="2"/>
        <item h="1" x="3"/>
        <item h="1" x="4"/>
        <item h="1" x="5"/>
        <item h="1" x="6"/>
        <item h="1" x="7"/>
        <item h="1" x="8"/>
        <item h="1" x="9"/>
        <item h="1" x="10"/>
        <item h="1"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2">
    <format dxfId="44">
      <pivotArea type="all" dataOnly="0" outline="0" fieldPosition="0"/>
    </format>
    <format dxfId="43">
      <pivotArea outline="0" collapsedLevelsAreSubtotals="1" fieldPosition="0"/>
    </format>
    <format dxfId="42">
      <pivotArea field="3" type="button" dataOnly="0" labelOnly="1" outline="0" axis="axisRow" fieldPosition="0"/>
    </format>
    <format dxfId="41">
      <pivotArea dataOnly="0" labelOnly="1" outline="0" fieldPosition="0">
        <references count="1">
          <reference field="3" count="0"/>
        </references>
      </pivotArea>
    </format>
    <format dxfId="40">
      <pivotArea dataOnly="0" labelOnly="1" grandRow="1" outline="0" fieldPosition="0"/>
    </format>
    <format dxfId="39">
      <pivotArea dataOnly="0" labelOnly="1" outline="0" axis="axisValues" fieldPosition="0"/>
    </format>
    <format dxfId="38">
      <pivotArea type="all" dataOnly="0" outline="0" fieldPosition="0"/>
    </format>
    <format dxfId="37">
      <pivotArea outline="0" collapsedLevelsAreSubtotals="1" fieldPosition="0"/>
    </format>
    <format dxfId="36">
      <pivotArea field="3" type="button" dataOnly="0" labelOnly="1" outline="0" axis="axisRow" fieldPosition="0"/>
    </format>
    <format dxfId="35">
      <pivotArea dataOnly="0" labelOnly="1" outline="0" fieldPosition="0">
        <references count="1">
          <reference field="3" count="0"/>
        </references>
      </pivotArea>
    </format>
    <format dxfId="34">
      <pivotArea dataOnly="0" labelOnly="1" grandRow="1" outline="0" fieldPosition="0"/>
    </format>
    <format dxfId="3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81D6B64-8E8F-437D-A527-D52513050F12}" name="PT_BudgetVsActual"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25:F32" firstHeaderRow="0"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h="1" x="1"/>
        <item h="1" x="2"/>
        <item h="1" x="3"/>
        <item h="1" x="4"/>
        <item h="1" x="5"/>
        <item h="1" x="6"/>
        <item h="1" x="7"/>
        <item h="1" x="8"/>
        <item h="1" x="9"/>
        <item h="1" x="10"/>
        <item h="1"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2">
    <format dxfId="56">
      <pivotArea type="all" dataOnly="0" outline="0" fieldPosition="0"/>
    </format>
    <format dxfId="55">
      <pivotArea outline="0" collapsedLevelsAreSubtotals="1" fieldPosition="0"/>
    </format>
    <format dxfId="54">
      <pivotArea field="2" type="button" dataOnly="0" labelOnly="1" outline="0" axis="axisRow" fieldPosition="0"/>
    </format>
    <format dxfId="53">
      <pivotArea dataOnly="0" labelOnly="1" outline="0" fieldPosition="0">
        <references count="1">
          <reference field="2" count="0"/>
        </references>
      </pivotArea>
    </format>
    <format dxfId="52">
      <pivotArea dataOnly="0" labelOnly="1" grandRow="1" outline="0" fieldPosition="0"/>
    </format>
    <format dxfId="51">
      <pivotArea dataOnly="0" labelOnly="1" outline="0" fieldPosition="0">
        <references count="1">
          <reference field="4294967294" count="2">
            <x v="0"/>
            <x v="1"/>
          </reference>
        </references>
      </pivotArea>
    </format>
    <format dxfId="50">
      <pivotArea type="all" dataOnly="0" outline="0" fieldPosition="0"/>
    </format>
    <format dxfId="49">
      <pivotArea outline="0" collapsedLevelsAreSubtotals="1" fieldPosition="0"/>
    </format>
    <format dxfId="48">
      <pivotArea field="2" type="button" dataOnly="0" labelOnly="1" outline="0" axis="axisRow" fieldPosition="0"/>
    </format>
    <format dxfId="47">
      <pivotArea dataOnly="0" labelOnly="1" outline="0" fieldPosition="0">
        <references count="1">
          <reference field="2" count="0"/>
        </references>
      </pivotArea>
    </format>
    <format dxfId="46">
      <pivotArea dataOnly="0" labelOnly="1" grandRow="1" outline="0" fieldPosition="0"/>
    </format>
    <format dxfId="4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7C11E03-01AE-40E1-A279-45E87C382845}" name="PT_PaymentMetho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h="1" x="1"/>
        <item h="1" x="2"/>
        <item h="1" x="3"/>
        <item h="1" x="4"/>
        <item h="1" x="5"/>
        <item h="1" x="6"/>
        <item h="1" x="7"/>
        <item h="1" x="8"/>
        <item h="1" x="9"/>
        <item h="1" x="10"/>
        <item h="1"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68">
      <pivotArea type="all" dataOnly="0" outline="0" fieldPosition="0"/>
    </format>
    <format dxfId="67">
      <pivotArea outline="0" collapsedLevelsAreSubtotals="1" fieldPosition="0"/>
    </format>
    <format dxfId="66">
      <pivotArea field="6" type="button" dataOnly="0" labelOnly="1" outline="0" axis="axisRow" fieldPosition="0"/>
    </format>
    <format dxfId="65">
      <pivotArea dataOnly="0" labelOnly="1" outline="0" fieldPosition="0">
        <references count="1">
          <reference field="6" count="0"/>
        </references>
      </pivotArea>
    </format>
    <format dxfId="64">
      <pivotArea dataOnly="0" labelOnly="1" grandRow="1" outline="0" fieldPosition="0"/>
    </format>
    <format dxfId="63">
      <pivotArea dataOnly="0" labelOnly="1" outline="0" axis="axisValues" fieldPosition="0"/>
    </format>
    <format dxfId="62">
      <pivotArea type="all" dataOnly="0" outline="0" fieldPosition="0"/>
    </format>
    <format dxfId="61">
      <pivotArea outline="0" collapsedLevelsAreSubtotals="1" fieldPosition="0"/>
    </format>
    <format dxfId="60">
      <pivotArea field="6" type="button" dataOnly="0" labelOnly="1" outline="0" axis="axisRow" fieldPosition="0"/>
    </format>
    <format dxfId="59">
      <pivotArea dataOnly="0" labelOnly="1" outline="0" fieldPosition="0">
        <references count="1">
          <reference field="6" count="0"/>
        </references>
      </pivotArea>
    </format>
    <format dxfId="58">
      <pivotArea dataOnly="0" labelOnly="1" grandRow="1" outline="0" fieldPosition="0"/>
    </format>
    <format dxfId="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D58B528-9DA9-4C79-8532-BF28385F63A0}"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066416830">
      <items count="12">
        <i x="0" s="1"/>
        <i x="1"/>
        <i x="2"/>
        <i x="3"/>
        <i x="4"/>
        <i x="5"/>
        <i x="6"/>
        <i x="7"/>
        <i x="8"/>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794E7D1A-5FF2-4D9C-B249-A952F72AB69D}"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066416830">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38F4A264-AEDE-4033-9F34-6BBA527A4CB7}" cache="Slicer_Month" caption="Month" columnCount="4" style="SlicerStyleLight6" rowHeight="251883"/>
  <slicer name="Department" xr10:uid="{69D55B0E-B212-4EA0-9314-D0073EB6704D}" cache="Slicer_Department" caption="Department" columnCount="6" style="SlicerStyleLight6"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81F59FE-AAF0-4CE5-A3D7-7AAEF7263BC6}" name="tblExpenses" displayName="tblExpenses" ref="A1:M416" totalsRowShown="0" headerRowDxfId="73">
  <autoFilter ref="A1:M416" xr:uid="{981F59FE-AAF0-4CE5-A3D7-7AAEF7263BC6}"/>
  <tableColumns count="13">
    <tableColumn id="1" xr3:uid="{94C43879-4333-430A-AC62-A863DEFB441D}" name="Expense ID"/>
    <tableColumn id="2" xr3:uid="{21C96C1D-FFAB-41C7-B8DA-00F10998D498}" name="Date" dataDxfId="72"/>
    <tableColumn id="3" xr3:uid="{C7647CBE-4A8A-425F-A868-7B420FC56129}" name="Department"/>
    <tableColumn id="4" xr3:uid="{3717EDB9-3951-43FB-8BFD-10DF19A4ADF8}" name="Category"/>
    <tableColumn id="5" xr3:uid="{FD5E4653-3DA1-4856-85C8-CA1459498D5C}" name="Description"/>
    <tableColumn id="6" xr3:uid="{16D5B6F0-7981-404E-AE68-082D0258326D}" name="Amount (INR)" dataDxfId="71"/>
    <tableColumn id="7" xr3:uid="{A21532B7-A8E4-44FC-8F53-62BF6B121BA4}" name="Payment Method"/>
    <tableColumn id="8" xr3:uid="{46CFE3DF-C00E-4A65-B491-56D099667944}" name="Approved"/>
    <tableColumn id="9" xr3:uid="{454BDB42-64E3-4A49-8AAA-B2F7D542B28F}" name="Budget Allocated" dataDxfId="70"/>
    <tableColumn id="10" xr3:uid="{854A945E-F48C-499F-88BA-3218233D2440}" name="Budget Remaining" dataDxfId="69"/>
    <tableColumn id="11" xr3:uid="{02B13C84-D281-4EF4-9B91-3E9C10896503}" name="Vendor Name"/>
    <tableColumn id="12" xr3:uid="{2F43D232-707B-467F-95AA-CF85C183EAB7}" name="Invoice Number"/>
    <tableColumn id="13" xr3:uid="{B675E6B3-BBE1-499A-A4DD-357948A592C4}"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D6A39-EE7B-43CE-87C5-F66F21030804}">
  <sheetPr>
    <pageSetUpPr fitToPage="1"/>
  </sheetPr>
  <dimension ref="A1:AF29"/>
  <sheetViews>
    <sheetView showGridLines="0" tabSelected="1" zoomScale="35" zoomScaleNormal="35" workbookViewId="0">
      <selection activeCell="AX27" sqref="AX27"/>
    </sheetView>
  </sheetViews>
  <sheetFormatPr defaultRowHeight="13" x14ac:dyDescent="0.3"/>
  <cols>
    <col min="1" max="30" width="7.90625" style="10" customWidth="1"/>
    <col min="31" max="31" width="8.7265625" style="10"/>
    <col min="32" max="33" width="0" style="10" hidden="1" customWidth="1"/>
    <col min="34" max="16384" width="8.7265625" style="10"/>
  </cols>
  <sheetData>
    <row r="1" spans="1:32" ht="22" customHeight="1" x14ac:dyDescent="0.3">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row>
    <row r="2" spans="1:32" ht="22" customHeight="1" x14ac:dyDescent="0.3">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F2" s="11">
        <f>IFERROR(GETPIVOTDATA("Sum of Amount (INR)",Pivot!$M$3),0)</f>
        <v>1379978</v>
      </c>
    </row>
    <row r="3" spans="1:32" ht="22" customHeight="1" x14ac:dyDescent="0.3">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F3" s="11">
        <f>IFERROR(GETPIVOTDATA("Sum of Budget Allocated",Pivot!$M$3),0)</f>
        <v>1726244</v>
      </c>
    </row>
    <row r="4" spans="1:32" ht="18" customHeight="1" x14ac:dyDescent="0.3">
      <c r="A4" s="14"/>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F4" s="11">
        <f>IFERROR(GETPIVOTDATA("Sum of Budget Remaining",Pivot!$M$3),0)</f>
        <v>346266</v>
      </c>
    </row>
    <row r="5" spans="1:32" ht="18" customHeight="1" x14ac:dyDescent="0.3">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F5" s="12">
        <f>IFERROR(GETPIVOTDATA("Count of Expense ID",Pivot!$M$3),0)</f>
        <v>34</v>
      </c>
    </row>
    <row r="6" spans="1:32" ht="18" customHeight="1" x14ac:dyDescent="0.3">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c r="AF6" s="13">
        <f>IFERROR(GETPIVOTDATA("Count of Expense ID",Pivot!$J$3,"Approved","Yes")/AF5,0)</f>
        <v>0.91176470588235292</v>
      </c>
    </row>
    <row r="7" spans="1:32" ht="18" customHeight="1" x14ac:dyDescent="0.3">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F7" s="11">
        <f>IFERROR(AF2/AF5,0)</f>
        <v>40587.588235294119</v>
      </c>
    </row>
    <row r="8" spans="1:32" ht="18" customHeight="1" x14ac:dyDescent="0.3">
      <c r="A8" s="14"/>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row>
    <row r="9" spans="1:32" ht="18" customHeight="1" x14ac:dyDescent="0.3">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row>
    <row r="10" spans="1:32" ht="18" customHeight="1" x14ac:dyDescent="0.3">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row>
    <row r="11" spans="1:32" ht="18" customHeight="1" x14ac:dyDescent="0.3">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row>
    <row r="12" spans="1:32" ht="18" customHeight="1" x14ac:dyDescent="0.3">
      <c r="A12" s="14"/>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row>
    <row r="13" spans="1:32" ht="18" customHeight="1" x14ac:dyDescent="0.3">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row>
    <row r="14" spans="1:32" ht="18" customHeight="1" x14ac:dyDescent="0.3">
      <c r="A14" s="14"/>
      <c r="B14" s="14"/>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row>
    <row r="15" spans="1:32" ht="18" customHeight="1" x14ac:dyDescent="0.3">
      <c r="A15" s="14"/>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row>
    <row r="16" spans="1:32" ht="18" customHeight="1" x14ac:dyDescent="0.3">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row>
    <row r="17" spans="1:30" ht="18" customHeight="1" x14ac:dyDescent="0.3">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row>
    <row r="18" spans="1:30" ht="18" customHeight="1" x14ac:dyDescent="0.3">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row>
    <row r="19" spans="1:30" ht="18" customHeight="1" x14ac:dyDescent="0.3">
      <c r="A19" s="14"/>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row>
    <row r="20" spans="1:30" ht="18" customHeight="1" x14ac:dyDescent="0.3">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row>
    <row r="21" spans="1:30" ht="18" customHeight="1" x14ac:dyDescent="0.3">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row>
    <row r="22" spans="1:30" ht="18" customHeight="1" x14ac:dyDescent="0.3">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row>
    <row r="23" spans="1:30" ht="18" customHeight="1" x14ac:dyDescent="0.3">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row>
    <row r="24" spans="1:30" ht="18" customHeight="1" x14ac:dyDescent="0.3">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row>
    <row r="25" spans="1:30" ht="18" customHeight="1" x14ac:dyDescent="0.3">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row>
    <row r="26" spans="1:30" ht="18" customHeight="1" x14ac:dyDescent="0.3">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row>
    <row r="27" spans="1:30" ht="18" customHeight="1" x14ac:dyDescent="0.3">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row>
    <row r="28" spans="1:30" ht="18" customHeight="1" x14ac:dyDescent="0.3">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row>
    <row r="29" spans="1:30" ht="18" customHeight="1" x14ac:dyDescent="0.3">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topLeftCell="B1" workbookViewId="0">
      <selection activeCell="Q5" sqref="Q5"/>
    </sheetView>
  </sheetViews>
  <sheetFormatPr defaultRowHeight="14.5" x14ac:dyDescent="0.35"/>
  <cols>
    <col min="1" max="1" width="12.26953125" bestFit="1" customWidth="1"/>
    <col min="2" max="2" width="11.36328125" bestFit="1" customWidth="1"/>
    <col min="3" max="3" width="13.08984375" bestFit="1" customWidth="1"/>
    <col min="4" max="4" width="13" bestFit="1" customWidth="1"/>
    <col min="5" max="5" width="31.1796875" bestFit="1" customWidth="1"/>
    <col min="6" max="6" width="14.26953125" bestFit="1" customWidth="1"/>
    <col min="7" max="7" width="17.1796875" bestFit="1" customWidth="1"/>
    <col min="8" max="8" width="11" bestFit="1" customWidth="1"/>
    <col min="9" max="9" width="17.26953125" bestFit="1" customWidth="1"/>
    <col min="10" max="10" width="18.36328125" bestFit="1" customWidth="1"/>
    <col min="11" max="11" width="17.81640625" bestFit="1" customWidth="1"/>
    <col min="12" max="12" width="16.36328125" bestFit="1" customWidth="1"/>
    <col min="13" max="13" width="8.36328125" bestFit="1" customWidth="1"/>
  </cols>
  <sheetData>
    <row r="1" spans="1:13" s="3" customFormat="1" x14ac:dyDescent="0.35">
      <c r="A1" s="3" t="s">
        <v>0</v>
      </c>
      <c r="B1" s="3" t="s">
        <v>1</v>
      </c>
      <c r="C1" s="3" t="s">
        <v>2</v>
      </c>
      <c r="D1" s="3" t="s">
        <v>3</v>
      </c>
      <c r="E1" s="3" t="s">
        <v>4</v>
      </c>
      <c r="F1" s="3" t="s">
        <v>5</v>
      </c>
      <c r="G1" s="3" t="s">
        <v>6</v>
      </c>
      <c r="H1" s="3" t="s">
        <v>7</v>
      </c>
      <c r="I1" s="3" t="s">
        <v>8</v>
      </c>
      <c r="J1" s="3" t="s">
        <v>9</v>
      </c>
      <c r="K1" s="3" t="s">
        <v>10</v>
      </c>
      <c r="L1" s="3" t="s">
        <v>11</v>
      </c>
      <c r="M1" s="3" t="s">
        <v>918</v>
      </c>
    </row>
    <row r="2" spans="1:13" x14ac:dyDescent="0.35">
      <c r="A2" t="s">
        <v>12</v>
      </c>
      <c r="B2" s="1">
        <v>45682</v>
      </c>
      <c r="C2" t="s">
        <v>13</v>
      </c>
      <c r="D2" t="s">
        <v>14</v>
      </c>
      <c r="E2" t="s">
        <v>15</v>
      </c>
      <c r="F2" s="2">
        <v>7099</v>
      </c>
      <c r="G2" t="s">
        <v>16</v>
      </c>
      <c r="H2" t="s">
        <v>17</v>
      </c>
      <c r="I2" s="2">
        <v>8386</v>
      </c>
      <c r="J2" s="2">
        <v>1287</v>
      </c>
      <c r="K2" t="s">
        <v>18</v>
      </c>
      <c r="L2" t="s">
        <v>19</v>
      </c>
      <c r="M2" t="str">
        <f>TEXT(tblExpenses[[#This Row],[Date]],"mmm")</f>
        <v>Jan</v>
      </c>
    </row>
    <row r="3" spans="1:13" x14ac:dyDescent="0.35">
      <c r="A3" t="s">
        <v>20</v>
      </c>
      <c r="B3" s="1">
        <v>45677</v>
      </c>
      <c r="C3" t="s">
        <v>13</v>
      </c>
      <c r="D3" t="s">
        <v>21</v>
      </c>
      <c r="E3" t="s">
        <v>22</v>
      </c>
      <c r="F3" s="2">
        <v>37909</v>
      </c>
      <c r="G3" t="s">
        <v>23</v>
      </c>
      <c r="H3" t="s">
        <v>17</v>
      </c>
      <c r="I3" s="2">
        <v>39147</v>
      </c>
      <c r="J3" s="2">
        <v>1238</v>
      </c>
      <c r="K3" t="s">
        <v>18</v>
      </c>
      <c r="L3" t="s">
        <v>24</v>
      </c>
      <c r="M3" t="str">
        <f>TEXT(tblExpenses[[#This Row],[Date]],"mmm")</f>
        <v>Jan</v>
      </c>
    </row>
    <row r="4" spans="1:13" x14ac:dyDescent="0.35">
      <c r="A4" t="s">
        <v>25</v>
      </c>
      <c r="B4" s="1">
        <v>45665</v>
      </c>
      <c r="C4" t="s">
        <v>13</v>
      </c>
      <c r="D4" t="s">
        <v>26</v>
      </c>
      <c r="E4" t="s">
        <v>27</v>
      </c>
      <c r="F4" s="2">
        <v>5729</v>
      </c>
      <c r="G4" t="s">
        <v>16</v>
      </c>
      <c r="H4" t="s">
        <v>17</v>
      </c>
      <c r="I4" s="2">
        <v>8391</v>
      </c>
      <c r="J4" s="2">
        <v>2662</v>
      </c>
      <c r="K4" t="s">
        <v>28</v>
      </c>
      <c r="L4" t="s">
        <v>29</v>
      </c>
      <c r="M4" t="str">
        <f>TEXT(tblExpenses[[#This Row],[Date]],"mmm")</f>
        <v>Jan</v>
      </c>
    </row>
    <row r="5" spans="1:13" x14ac:dyDescent="0.35">
      <c r="A5" t="s">
        <v>30</v>
      </c>
      <c r="B5" s="1">
        <v>45660</v>
      </c>
      <c r="C5" t="s">
        <v>21</v>
      </c>
      <c r="D5" t="s">
        <v>31</v>
      </c>
      <c r="E5" t="s">
        <v>32</v>
      </c>
      <c r="F5" s="2">
        <v>21974</v>
      </c>
      <c r="G5" t="s">
        <v>16</v>
      </c>
      <c r="H5" t="s">
        <v>17</v>
      </c>
      <c r="I5" s="2">
        <v>22502</v>
      </c>
      <c r="J5" s="2">
        <v>528</v>
      </c>
      <c r="K5" t="s">
        <v>33</v>
      </c>
      <c r="L5" t="s">
        <v>34</v>
      </c>
      <c r="M5" t="str">
        <f>TEXT(tblExpenses[[#This Row],[Date]],"mmm")</f>
        <v>Jan</v>
      </c>
    </row>
    <row r="6" spans="1:13" x14ac:dyDescent="0.35">
      <c r="A6" t="s">
        <v>35</v>
      </c>
      <c r="B6" s="1">
        <v>45682</v>
      </c>
      <c r="C6" t="s">
        <v>21</v>
      </c>
      <c r="D6" t="s">
        <v>36</v>
      </c>
      <c r="E6" t="s">
        <v>37</v>
      </c>
      <c r="F6" s="2">
        <v>70564</v>
      </c>
      <c r="G6" t="s">
        <v>38</v>
      </c>
      <c r="H6" t="s">
        <v>17</v>
      </c>
      <c r="I6" s="2">
        <v>77440</v>
      </c>
      <c r="J6" s="2">
        <v>6876</v>
      </c>
      <c r="K6" t="s">
        <v>39</v>
      </c>
      <c r="L6" t="s">
        <v>40</v>
      </c>
      <c r="M6" t="str">
        <f>TEXT(tblExpenses[[#This Row],[Date]],"mmm")</f>
        <v>Jan</v>
      </c>
    </row>
    <row r="7" spans="1:13" x14ac:dyDescent="0.35">
      <c r="A7" t="s">
        <v>41</v>
      </c>
      <c r="B7" s="1">
        <v>45681</v>
      </c>
      <c r="C7" t="s">
        <v>21</v>
      </c>
      <c r="D7" t="s">
        <v>14</v>
      </c>
      <c r="E7" t="s">
        <v>42</v>
      </c>
      <c r="F7" s="2">
        <v>23713</v>
      </c>
      <c r="G7" t="s">
        <v>23</v>
      </c>
      <c r="H7" t="s">
        <v>43</v>
      </c>
      <c r="I7" s="2">
        <v>28542</v>
      </c>
      <c r="J7" s="2">
        <v>4829</v>
      </c>
      <c r="K7" t="s">
        <v>39</v>
      </c>
      <c r="L7" t="s">
        <v>44</v>
      </c>
      <c r="M7" t="str">
        <f>TEXT(tblExpenses[[#This Row],[Date]],"mmm")</f>
        <v>Jan</v>
      </c>
    </row>
    <row r="8" spans="1:13" x14ac:dyDescent="0.35">
      <c r="A8" t="s">
        <v>45</v>
      </c>
      <c r="B8" s="1">
        <v>45685</v>
      </c>
      <c r="C8" t="s">
        <v>46</v>
      </c>
      <c r="D8" t="s">
        <v>36</v>
      </c>
      <c r="E8" t="s">
        <v>47</v>
      </c>
      <c r="F8" s="2">
        <v>67515</v>
      </c>
      <c r="G8" t="s">
        <v>23</v>
      </c>
      <c r="H8" t="s">
        <v>17</v>
      </c>
      <c r="I8" s="2">
        <v>87309</v>
      </c>
      <c r="J8" s="2">
        <v>19794</v>
      </c>
      <c r="K8" t="s">
        <v>39</v>
      </c>
      <c r="L8" t="s">
        <v>48</v>
      </c>
      <c r="M8" t="str">
        <f>TEXT(tblExpenses[[#This Row],[Date]],"mmm")</f>
        <v>Jan</v>
      </c>
    </row>
    <row r="9" spans="1:13" x14ac:dyDescent="0.35">
      <c r="A9" t="s">
        <v>49</v>
      </c>
      <c r="B9" s="1">
        <v>45660</v>
      </c>
      <c r="C9" t="s">
        <v>46</v>
      </c>
      <c r="D9" t="s">
        <v>31</v>
      </c>
      <c r="E9" t="s">
        <v>50</v>
      </c>
      <c r="F9" s="2">
        <v>30644</v>
      </c>
      <c r="G9" t="s">
        <v>51</v>
      </c>
      <c r="H9" t="s">
        <v>17</v>
      </c>
      <c r="I9" s="2">
        <v>44207</v>
      </c>
      <c r="J9" s="2">
        <v>13563</v>
      </c>
      <c r="K9" t="s">
        <v>39</v>
      </c>
      <c r="L9" t="s">
        <v>52</v>
      </c>
      <c r="M9" t="str">
        <f>TEXT(tblExpenses[[#This Row],[Date]],"mmm")</f>
        <v>Jan</v>
      </c>
    </row>
    <row r="10" spans="1:13" x14ac:dyDescent="0.35">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x14ac:dyDescent="0.35">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x14ac:dyDescent="0.35">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x14ac:dyDescent="0.35">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x14ac:dyDescent="0.35">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x14ac:dyDescent="0.35">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x14ac:dyDescent="0.35">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x14ac:dyDescent="0.35">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x14ac:dyDescent="0.35">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x14ac:dyDescent="0.35">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x14ac:dyDescent="0.35">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x14ac:dyDescent="0.35">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x14ac:dyDescent="0.35">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x14ac:dyDescent="0.35">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x14ac:dyDescent="0.35">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x14ac:dyDescent="0.35">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x14ac:dyDescent="0.35">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x14ac:dyDescent="0.35">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x14ac:dyDescent="0.35">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x14ac:dyDescent="0.35">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x14ac:dyDescent="0.35">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x14ac:dyDescent="0.35">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x14ac:dyDescent="0.35">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x14ac:dyDescent="0.35">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x14ac:dyDescent="0.35">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x14ac:dyDescent="0.35">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x14ac:dyDescent="0.35">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x14ac:dyDescent="0.35">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x14ac:dyDescent="0.35">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x14ac:dyDescent="0.35">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x14ac:dyDescent="0.35">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x14ac:dyDescent="0.35">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x14ac:dyDescent="0.35">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x14ac:dyDescent="0.35">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x14ac:dyDescent="0.35">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x14ac:dyDescent="0.35">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x14ac:dyDescent="0.35">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x14ac:dyDescent="0.35">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x14ac:dyDescent="0.35">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x14ac:dyDescent="0.35">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x14ac:dyDescent="0.35">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x14ac:dyDescent="0.35">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x14ac:dyDescent="0.35">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x14ac:dyDescent="0.35">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x14ac:dyDescent="0.35">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x14ac:dyDescent="0.35">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x14ac:dyDescent="0.35">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x14ac:dyDescent="0.35">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x14ac:dyDescent="0.35">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x14ac:dyDescent="0.35">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x14ac:dyDescent="0.35">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x14ac:dyDescent="0.35">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x14ac:dyDescent="0.35">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x14ac:dyDescent="0.35">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x14ac:dyDescent="0.35">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x14ac:dyDescent="0.35">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x14ac:dyDescent="0.35">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x14ac:dyDescent="0.35">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x14ac:dyDescent="0.35">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x14ac:dyDescent="0.35">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x14ac:dyDescent="0.35">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x14ac:dyDescent="0.35">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x14ac:dyDescent="0.35">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x14ac:dyDescent="0.35">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x14ac:dyDescent="0.35">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x14ac:dyDescent="0.35">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x14ac:dyDescent="0.35">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x14ac:dyDescent="0.35">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x14ac:dyDescent="0.35">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x14ac:dyDescent="0.35">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x14ac:dyDescent="0.35">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x14ac:dyDescent="0.35">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x14ac:dyDescent="0.35">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x14ac:dyDescent="0.35">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x14ac:dyDescent="0.35">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x14ac:dyDescent="0.35">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x14ac:dyDescent="0.35">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x14ac:dyDescent="0.35">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x14ac:dyDescent="0.35">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x14ac:dyDescent="0.35">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x14ac:dyDescent="0.35">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x14ac:dyDescent="0.35">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x14ac:dyDescent="0.35">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x14ac:dyDescent="0.35">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x14ac:dyDescent="0.35">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x14ac:dyDescent="0.35">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x14ac:dyDescent="0.35">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x14ac:dyDescent="0.35">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x14ac:dyDescent="0.35">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x14ac:dyDescent="0.35">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x14ac:dyDescent="0.35">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x14ac:dyDescent="0.35">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x14ac:dyDescent="0.35">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x14ac:dyDescent="0.35">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x14ac:dyDescent="0.35">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x14ac:dyDescent="0.35">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x14ac:dyDescent="0.35">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x14ac:dyDescent="0.35">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x14ac:dyDescent="0.35">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x14ac:dyDescent="0.35">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x14ac:dyDescent="0.35">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x14ac:dyDescent="0.35">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x14ac:dyDescent="0.35">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x14ac:dyDescent="0.35">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x14ac:dyDescent="0.35">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x14ac:dyDescent="0.35">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x14ac:dyDescent="0.35">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x14ac:dyDescent="0.35">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x14ac:dyDescent="0.35">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x14ac:dyDescent="0.35">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x14ac:dyDescent="0.35">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x14ac:dyDescent="0.35">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x14ac:dyDescent="0.35">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x14ac:dyDescent="0.35">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x14ac:dyDescent="0.35">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x14ac:dyDescent="0.35">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x14ac:dyDescent="0.35">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x14ac:dyDescent="0.35">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x14ac:dyDescent="0.35">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x14ac:dyDescent="0.35">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x14ac:dyDescent="0.35">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x14ac:dyDescent="0.35">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x14ac:dyDescent="0.35">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x14ac:dyDescent="0.35">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x14ac:dyDescent="0.35">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x14ac:dyDescent="0.35">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x14ac:dyDescent="0.35">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x14ac:dyDescent="0.35">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x14ac:dyDescent="0.35">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x14ac:dyDescent="0.35">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x14ac:dyDescent="0.35">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x14ac:dyDescent="0.35">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x14ac:dyDescent="0.35">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x14ac:dyDescent="0.35">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x14ac:dyDescent="0.35">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x14ac:dyDescent="0.35">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x14ac:dyDescent="0.35">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x14ac:dyDescent="0.35">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x14ac:dyDescent="0.35">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x14ac:dyDescent="0.35">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x14ac:dyDescent="0.35">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x14ac:dyDescent="0.35">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x14ac:dyDescent="0.35">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x14ac:dyDescent="0.35">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x14ac:dyDescent="0.35">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x14ac:dyDescent="0.35">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x14ac:dyDescent="0.35">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x14ac:dyDescent="0.35">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x14ac:dyDescent="0.35">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x14ac:dyDescent="0.35">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x14ac:dyDescent="0.35">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x14ac:dyDescent="0.35">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x14ac:dyDescent="0.35">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x14ac:dyDescent="0.35">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x14ac:dyDescent="0.35">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x14ac:dyDescent="0.35">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x14ac:dyDescent="0.35">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x14ac:dyDescent="0.35">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x14ac:dyDescent="0.35">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x14ac:dyDescent="0.35">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x14ac:dyDescent="0.35">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x14ac:dyDescent="0.35">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x14ac:dyDescent="0.35">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x14ac:dyDescent="0.35">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x14ac:dyDescent="0.35">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x14ac:dyDescent="0.35">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x14ac:dyDescent="0.35">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x14ac:dyDescent="0.35">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x14ac:dyDescent="0.35">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x14ac:dyDescent="0.35">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x14ac:dyDescent="0.35">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x14ac:dyDescent="0.35">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x14ac:dyDescent="0.35">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x14ac:dyDescent="0.35">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x14ac:dyDescent="0.35">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x14ac:dyDescent="0.35">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x14ac:dyDescent="0.35">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x14ac:dyDescent="0.35">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x14ac:dyDescent="0.35">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x14ac:dyDescent="0.35">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x14ac:dyDescent="0.35">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x14ac:dyDescent="0.35">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x14ac:dyDescent="0.35">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x14ac:dyDescent="0.35">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x14ac:dyDescent="0.35">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x14ac:dyDescent="0.35">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x14ac:dyDescent="0.35">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x14ac:dyDescent="0.35">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x14ac:dyDescent="0.35">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x14ac:dyDescent="0.35">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x14ac:dyDescent="0.35">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x14ac:dyDescent="0.35">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x14ac:dyDescent="0.35">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x14ac:dyDescent="0.35">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x14ac:dyDescent="0.35">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x14ac:dyDescent="0.35">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x14ac:dyDescent="0.35">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x14ac:dyDescent="0.35">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x14ac:dyDescent="0.35">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x14ac:dyDescent="0.35">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x14ac:dyDescent="0.35">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x14ac:dyDescent="0.35">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x14ac:dyDescent="0.35">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x14ac:dyDescent="0.35">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x14ac:dyDescent="0.35">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x14ac:dyDescent="0.35">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x14ac:dyDescent="0.35">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x14ac:dyDescent="0.35">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x14ac:dyDescent="0.35">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x14ac:dyDescent="0.35">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x14ac:dyDescent="0.35">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x14ac:dyDescent="0.35">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x14ac:dyDescent="0.35">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x14ac:dyDescent="0.35">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x14ac:dyDescent="0.35">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x14ac:dyDescent="0.35">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x14ac:dyDescent="0.35">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x14ac:dyDescent="0.35">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x14ac:dyDescent="0.35">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x14ac:dyDescent="0.35">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x14ac:dyDescent="0.35">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x14ac:dyDescent="0.35">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x14ac:dyDescent="0.35">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x14ac:dyDescent="0.35">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x14ac:dyDescent="0.35">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x14ac:dyDescent="0.35">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x14ac:dyDescent="0.35">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x14ac:dyDescent="0.35">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x14ac:dyDescent="0.35">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x14ac:dyDescent="0.35">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x14ac:dyDescent="0.35">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x14ac:dyDescent="0.35">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x14ac:dyDescent="0.35">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x14ac:dyDescent="0.35">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x14ac:dyDescent="0.35">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x14ac:dyDescent="0.35">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x14ac:dyDescent="0.35">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x14ac:dyDescent="0.35">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x14ac:dyDescent="0.35">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x14ac:dyDescent="0.35">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x14ac:dyDescent="0.35">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x14ac:dyDescent="0.35">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x14ac:dyDescent="0.35">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x14ac:dyDescent="0.35">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x14ac:dyDescent="0.35">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x14ac:dyDescent="0.35">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x14ac:dyDescent="0.35">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x14ac:dyDescent="0.35">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x14ac:dyDescent="0.35">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x14ac:dyDescent="0.35">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x14ac:dyDescent="0.35">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x14ac:dyDescent="0.35">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x14ac:dyDescent="0.35">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x14ac:dyDescent="0.35">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x14ac:dyDescent="0.35">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x14ac:dyDescent="0.35">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x14ac:dyDescent="0.35">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x14ac:dyDescent="0.35">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x14ac:dyDescent="0.35">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x14ac:dyDescent="0.35">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x14ac:dyDescent="0.35">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x14ac:dyDescent="0.35">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x14ac:dyDescent="0.35">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x14ac:dyDescent="0.35">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x14ac:dyDescent="0.35">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x14ac:dyDescent="0.35">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x14ac:dyDescent="0.35">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x14ac:dyDescent="0.35">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x14ac:dyDescent="0.35">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x14ac:dyDescent="0.35">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x14ac:dyDescent="0.35">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x14ac:dyDescent="0.35">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x14ac:dyDescent="0.35">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x14ac:dyDescent="0.35">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x14ac:dyDescent="0.35">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x14ac:dyDescent="0.35">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x14ac:dyDescent="0.35">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x14ac:dyDescent="0.35">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x14ac:dyDescent="0.35">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x14ac:dyDescent="0.35">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x14ac:dyDescent="0.35">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x14ac:dyDescent="0.35">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x14ac:dyDescent="0.35">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x14ac:dyDescent="0.35">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x14ac:dyDescent="0.35">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x14ac:dyDescent="0.35">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x14ac:dyDescent="0.35">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x14ac:dyDescent="0.35">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x14ac:dyDescent="0.35">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x14ac:dyDescent="0.35">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x14ac:dyDescent="0.35">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x14ac:dyDescent="0.35">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x14ac:dyDescent="0.35">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x14ac:dyDescent="0.35">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x14ac:dyDescent="0.35">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x14ac:dyDescent="0.35">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x14ac:dyDescent="0.35">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x14ac:dyDescent="0.35">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x14ac:dyDescent="0.35">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x14ac:dyDescent="0.35">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x14ac:dyDescent="0.35">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x14ac:dyDescent="0.35">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x14ac:dyDescent="0.35">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x14ac:dyDescent="0.35">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x14ac:dyDescent="0.35">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x14ac:dyDescent="0.35">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x14ac:dyDescent="0.35">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x14ac:dyDescent="0.35">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x14ac:dyDescent="0.35">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x14ac:dyDescent="0.35">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x14ac:dyDescent="0.35">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x14ac:dyDescent="0.35">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x14ac:dyDescent="0.35">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x14ac:dyDescent="0.35">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x14ac:dyDescent="0.35">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x14ac:dyDescent="0.35">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x14ac:dyDescent="0.35">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x14ac:dyDescent="0.35">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x14ac:dyDescent="0.35">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x14ac:dyDescent="0.35">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x14ac:dyDescent="0.35">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x14ac:dyDescent="0.35">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x14ac:dyDescent="0.35">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x14ac:dyDescent="0.35">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x14ac:dyDescent="0.35">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x14ac:dyDescent="0.35">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x14ac:dyDescent="0.35">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x14ac:dyDescent="0.35">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x14ac:dyDescent="0.35">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x14ac:dyDescent="0.35">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x14ac:dyDescent="0.35">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x14ac:dyDescent="0.35">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x14ac:dyDescent="0.35">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x14ac:dyDescent="0.35">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x14ac:dyDescent="0.35">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x14ac:dyDescent="0.35">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x14ac:dyDescent="0.35">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x14ac:dyDescent="0.35">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x14ac:dyDescent="0.35">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x14ac:dyDescent="0.35">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x14ac:dyDescent="0.35">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x14ac:dyDescent="0.35">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x14ac:dyDescent="0.35">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x14ac:dyDescent="0.35">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x14ac:dyDescent="0.35">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x14ac:dyDescent="0.35">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x14ac:dyDescent="0.35">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x14ac:dyDescent="0.35">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x14ac:dyDescent="0.35">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x14ac:dyDescent="0.35">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x14ac:dyDescent="0.35">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x14ac:dyDescent="0.35">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x14ac:dyDescent="0.35">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x14ac:dyDescent="0.35">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x14ac:dyDescent="0.35">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x14ac:dyDescent="0.35">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x14ac:dyDescent="0.35">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x14ac:dyDescent="0.35">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x14ac:dyDescent="0.35">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x14ac:dyDescent="0.35">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x14ac:dyDescent="0.35">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x14ac:dyDescent="0.35">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x14ac:dyDescent="0.35">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x14ac:dyDescent="0.35">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x14ac:dyDescent="0.35">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x14ac:dyDescent="0.35">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x14ac:dyDescent="0.35">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x14ac:dyDescent="0.35">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x14ac:dyDescent="0.35">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x14ac:dyDescent="0.35">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x14ac:dyDescent="0.35">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x14ac:dyDescent="0.35">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x14ac:dyDescent="0.35">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x14ac:dyDescent="0.35">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x14ac:dyDescent="0.35">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x14ac:dyDescent="0.35">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x14ac:dyDescent="0.35">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x14ac:dyDescent="0.35">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x14ac:dyDescent="0.35">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x14ac:dyDescent="0.35">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x14ac:dyDescent="0.35">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x14ac:dyDescent="0.35">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x14ac:dyDescent="0.35">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x14ac:dyDescent="0.35">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x14ac:dyDescent="0.35">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x14ac:dyDescent="0.35">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x14ac:dyDescent="0.35">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x14ac:dyDescent="0.35">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x14ac:dyDescent="0.35">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x14ac:dyDescent="0.35">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x14ac:dyDescent="0.35">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x14ac:dyDescent="0.35">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x14ac:dyDescent="0.35">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x14ac:dyDescent="0.35">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x14ac:dyDescent="0.35">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x14ac:dyDescent="0.35">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x14ac:dyDescent="0.35">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x14ac:dyDescent="0.35">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x14ac:dyDescent="0.35">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x14ac:dyDescent="0.35">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x14ac:dyDescent="0.35">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x14ac:dyDescent="0.35">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x14ac:dyDescent="0.35">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x14ac:dyDescent="0.35">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x14ac:dyDescent="0.35">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x14ac:dyDescent="0.35">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x14ac:dyDescent="0.35">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58504-DBD6-4F1B-9927-4ACF09145B84}">
  <dimension ref="A3:P62"/>
  <sheetViews>
    <sheetView workbookViewId="0"/>
  </sheetViews>
  <sheetFormatPr defaultRowHeight="14.5" x14ac:dyDescent="0.35"/>
  <cols>
    <col min="1" max="1" width="17.1796875" bestFit="1" customWidth="1"/>
    <col min="2" max="2" width="18.1796875" bestFit="1" customWidth="1"/>
    <col min="4" max="4" width="13.08984375" bestFit="1" customWidth="1"/>
    <col min="5" max="5" width="11.453125" bestFit="1" customWidth="1"/>
    <col min="6" max="6" width="21.36328125" bestFit="1" customWidth="1"/>
    <col min="7" max="7" width="10.36328125" bestFit="1" customWidth="1"/>
    <col min="8" max="8" width="18.1796875" bestFit="1" customWidth="1"/>
    <col min="10" max="10" width="11" bestFit="1" customWidth="1"/>
    <col min="11" max="11" width="18.36328125" bestFit="1" customWidth="1"/>
    <col min="12" max="12" width="17.6328125" bestFit="1" customWidth="1"/>
    <col min="13" max="13" width="18.1796875" bestFit="1" customWidth="1"/>
    <col min="14" max="14" width="21.36328125" bestFit="1" customWidth="1"/>
    <col min="15" max="15" width="22.26953125" bestFit="1" customWidth="1"/>
    <col min="16" max="16" width="17.6328125" bestFit="1" customWidth="1"/>
  </cols>
  <sheetData>
    <row r="3" spans="1:16" x14ac:dyDescent="0.35">
      <c r="A3" s="5" t="s">
        <v>2</v>
      </c>
      <c r="B3" s="6" t="s">
        <v>920</v>
      </c>
      <c r="D3" s="5" t="s">
        <v>3</v>
      </c>
      <c r="E3" s="6" t="s">
        <v>920</v>
      </c>
      <c r="G3" s="5" t="s">
        <v>918</v>
      </c>
      <c r="H3" s="6" t="s">
        <v>920</v>
      </c>
      <c r="J3" s="4" t="s">
        <v>7</v>
      </c>
      <c r="K3" t="s">
        <v>920</v>
      </c>
      <c r="L3" t="s">
        <v>922</v>
      </c>
      <c r="M3" s="6" t="s">
        <v>920</v>
      </c>
      <c r="N3" s="6" t="s">
        <v>923</v>
      </c>
      <c r="O3" s="6" t="s">
        <v>924</v>
      </c>
      <c r="P3" s="6" t="s">
        <v>922</v>
      </c>
    </row>
    <row r="4" spans="1:16" x14ac:dyDescent="0.35">
      <c r="A4" s="6" t="s">
        <v>13</v>
      </c>
      <c r="B4" s="7">
        <v>50737</v>
      </c>
      <c r="D4" s="6" t="s">
        <v>31</v>
      </c>
      <c r="E4" s="7">
        <v>88152</v>
      </c>
      <c r="G4" s="6" t="s">
        <v>921</v>
      </c>
      <c r="H4" s="7">
        <v>1379978</v>
      </c>
      <c r="J4" t="s">
        <v>43</v>
      </c>
      <c r="K4" s="2">
        <v>92902</v>
      </c>
      <c r="L4" s="8">
        <v>3</v>
      </c>
      <c r="M4" s="7">
        <v>1379978</v>
      </c>
      <c r="N4" s="7">
        <v>1726244</v>
      </c>
      <c r="O4" s="7">
        <v>346266</v>
      </c>
      <c r="P4" s="9">
        <v>34</v>
      </c>
    </row>
    <row r="5" spans="1:16" x14ac:dyDescent="0.35">
      <c r="A5" s="6" t="s">
        <v>92</v>
      </c>
      <c r="B5" s="7">
        <v>321958</v>
      </c>
      <c r="D5" s="6" t="s">
        <v>36</v>
      </c>
      <c r="E5" s="7">
        <v>388255</v>
      </c>
      <c r="G5" s="6" t="s">
        <v>919</v>
      </c>
      <c r="H5" s="7">
        <v>1379978</v>
      </c>
      <c r="J5" t="s">
        <v>17</v>
      </c>
      <c r="K5" s="2">
        <v>1287076</v>
      </c>
      <c r="L5" s="8">
        <v>31</v>
      </c>
    </row>
    <row r="6" spans="1:16" x14ac:dyDescent="0.35">
      <c r="A6" s="6" t="s">
        <v>72</v>
      </c>
      <c r="B6" s="7">
        <v>254638</v>
      </c>
      <c r="D6" s="6" t="s">
        <v>21</v>
      </c>
      <c r="E6" s="7">
        <v>367052</v>
      </c>
      <c r="J6" t="s">
        <v>919</v>
      </c>
      <c r="K6" s="2">
        <v>1379978</v>
      </c>
      <c r="L6">
        <v>34</v>
      </c>
    </row>
    <row r="7" spans="1:16" x14ac:dyDescent="0.35">
      <c r="A7" s="6" t="s">
        <v>21</v>
      </c>
      <c r="B7" s="7">
        <v>116251</v>
      </c>
      <c r="D7" s="6" t="s">
        <v>26</v>
      </c>
      <c r="E7" s="7">
        <v>6866</v>
      </c>
    </row>
    <row r="8" spans="1:16" x14ac:dyDescent="0.35">
      <c r="A8" s="6" t="s">
        <v>114</v>
      </c>
      <c r="B8" s="7">
        <v>399968</v>
      </c>
      <c r="D8" s="6" t="s">
        <v>14</v>
      </c>
      <c r="E8" s="7">
        <v>115499</v>
      </c>
    </row>
    <row r="9" spans="1:16" x14ac:dyDescent="0.35">
      <c r="A9" s="6" t="s">
        <v>46</v>
      </c>
      <c r="B9" s="7">
        <v>236426</v>
      </c>
      <c r="D9" s="6" t="s">
        <v>132</v>
      </c>
      <c r="E9" s="7">
        <v>13058</v>
      </c>
    </row>
    <row r="10" spans="1:16" x14ac:dyDescent="0.35">
      <c r="A10" s="6" t="s">
        <v>919</v>
      </c>
      <c r="B10" s="7">
        <v>1379978</v>
      </c>
      <c r="D10" s="6" t="s">
        <v>58</v>
      </c>
      <c r="E10" s="7">
        <v>354613</v>
      </c>
    </row>
    <row r="11" spans="1:16" x14ac:dyDescent="0.35">
      <c r="D11" s="6" t="s">
        <v>54</v>
      </c>
      <c r="E11" s="7">
        <v>46483</v>
      </c>
    </row>
    <row r="12" spans="1:16" x14ac:dyDescent="0.35">
      <c r="D12" s="6" t="s">
        <v>919</v>
      </c>
      <c r="E12" s="7">
        <v>1379978</v>
      </c>
    </row>
    <row r="25" spans="1:6" x14ac:dyDescent="0.35">
      <c r="A25" s="5" t="s">
        <v>6</v>
      </c>
      <c r="B25" s="6" t="s">
        <v>920</v>
      </c>
      <c r="D25" s="5" t="s">
        <v>2</v>
      </c>
      <c r="E25" s="6" t="s">
        <v>925</v>
      </c>
      <c r="F25" s="6" t="s">
        <v>923</v>
      </c>
    </row>
    <row r="26" spans="1:6" x14ac:dyDescent="0.35">
      <c r="A26" s="6" t="s">
        <v>51</v>
      </c>
      <c r="B26" s="7">
        <v>395197</v>
      </c>
      <c r="D26" s="6" t="s">
        <v>13</v>
      </c>
      <c r="E26" s="7">
        <v>50737</v>
      </c>
      <c r="F26" s="7">
        <v>55924</v>
      </c>
    </row>
    <row r="27" spans="1:6" x14ac:dyDescent="0.35">
      <c r="A27" s="6" t="s">
        <v>16</v>
      </c>
      <c r="B27" s="7">
        <v>277085</v>
      </c>
      <c r="D27" s="6" t="s">
        <v>92</v>
      </c>
      <c r="E27" s="7">
        <v>321958</v>
      </c>
      <c r="F27" s="7">
        <v>369375</v>
      </c>
    </row>
    <row r="28" spans="1:6" x14ac:dyDescent="0.35">
      <c r="A28" s="6" t="s">
        <v>38</v>
      </c>
      <c r="B28" s="7">
        <v>371044</v>
      </c>
      <c r="D28" s="6" t="s">
        <v>72</v>
      </c>
      <c r="E28" s="7">
        <v>254638</v>
      </c>
      <c r="F28" s="7">
        <v>338039</v>
      </c>
    </row>
    <row r="29" spans="1:6" x14ac:dyDescent="0.35">
      <c r="A29" s="6" t="s">
        <v>23</v>
      </c>
      <c r="B29" s="7">
        <v>336652</v>
      </c>
      <c r="D29" s="6" t="s">
        <v>21</v>
      </c>
      <c r="E29" s="7">
        <v>116251</v>
      </c>
      <c r="F29" s="7">
        <v>128484</v>
      </c>
    </row>
    <row r="30" spans="1:6" x14ac:dyDescent="0.35">
      <c r="A30" s="6" t="s">
        <v>919</v>
      </c>
      <c r="B30" s="7">
        <v>1379978</v>
      </c>
      <c r="D30" s="6" t="s">
        <v>114</v>
      </c>
      <c r="E30" s="7">
        <v>399968</v>
      </c>
      <c r="F30" s="7">
        <v>535106</v>
      </c>
    </row>
    <row r="31" spans="1:6" x14ac:dyDescent="0.35">
      <c r="D31" s="6" t="s">
        <v>46</v>
      </c>
      <c r="E31" s="7">
        <v>236426</v>
      </c>
      <c r="F31" s="7">
        <v>299316</v>
      </c>
    </row>
    <row r="32" spans="1:6" x14ac:dyDescent="0.35">
      <c r="D32" s="6" t="s">
        <v>919</v>
      </c>
      <c r="E32" s="7">
        <v>1379978</v>
      </c>
      <c r="F32" s="7">
        <v>1726244</v>
      </c>
    </row>
    <row r="50" spans="1:15" x14ac:dyDescent="0.35">
      <c r="A50" t="s">
        <v>2</v>
      </c>
      <c r="B50" t="s">
        <v>926</v>
      </c>
      <c r="D50" t="s">
        <v>3</v>
      </c>
      <c r="E50" t="s">
        <v>926</v>
      </c>
      <c r="G50" t="s">
        <v>918</v>
      </c>
      <c r="H50" t="s">
        <v>926</v>
      </c>
      <c r="J50" t="s">
        <v>6</v>
      </c>
      <c r="K50" t="s">
        <v>926</v>
      </c>
      <c r="M50" t="s">
        <v>2</v>
      </c>
      <c r="N50" t="s">
        <v>925</v>
      </c>
      <c r="O50" t="s">
        <v>8</v>
      </c>
    </row>
    <row r="51" spans="1:15" x14ac:dyDescent="0.35">
      <c r="A51" t="str">
        <f>Pivot!$A$4</f>
        <v>Engineering</v>
      </c>
      <c r="B51" s="2">
        <f>Pivot!$B$4</f>
        <v>50737</v>
      </c>
      <c r="D51" t="str">
        <f>Pivot!$D$4</f>
        <v>Consulting</v>
      </c>
      <c r="E51" s="2">
        <f>Pivot!$E$4</f>
        <v>88152</v>
      </c>
      <c r="G51" t="str">
        <f>Pivot!$G$4</f>
        <v>Jan</v>
      </c>
      <c r="H51" s="2">
        <f>Pivot!$H$4</f>
        <v>1379978</v>
      </c>
      <c r="J51" t="str">
        <f>Pivot!$A$26</f>
        <v>Bank Transfer</v>
      </c>
      <c r="K51" s="2">
        <f>Pivot!$B$26</f>
        <v>395197</v>
      </c>
      <c r="M51" t="str">
        <f>Pivot!$D$26</f>
        <v>Engineering</v>
      </c>
      <c r="N51" s="2">
        <f>Pivot!$E$26</f>
        <v>50737</v>
      </c>
      <c r="O51" s="2">
        <f>Pivot!$F$26</f>
        <v>55924</v>
      </c>
    </row>
    <row r="52" spans="1:15" x14ac:dyDescent="0.35">
      <c r="A52" t="str">
        <f>Pivot!$A$5</f>
        <v>Finance</v>
      </c>
      <c r="B52" s="2">
        <f>Pivot!$B$5</f>
        <v>321958</v>
      </c>
      <c r="D52" t="str">
        <f>Pivot!$D$5</f>
        <v>Equipment</v>
      </c>
      <c r="E52" s="2">
        <f>Pivot!$E$5</f>
        <v>388255</v>
      </c>
      <c r="G52" t="str">
        <f>Pivot!$G$5</f>
        <v>Grand Total</v>
      </c>
      <c r="H52" s="2">
        <f>Pivot!$H$5</f>
        <v>1379978</v>
      </c>
      <c r="J52" t="str">
        <f>Pivot!$A$27</f>
        <v>Cash</v>
      </c>
      <c r="K52" s="2">
        <f>Pivot!$B$27</f>
        <v>277085</v>
      </c>
      <c r="M52" t="str">
        <f>Pivot!$D$27</f>
        <v>Finance</v>
      </c>
      <c r="N52" s="2">
        <f>Pivot!$E$27</f>
        <v>321958</v>
      </c>
      <c r="O52" s="2">
        <f>Pivot!$F$27</f>
        <v>369375</v>
      </c>
    </row>
    <row r="53" spans="1:15" x14ac:dyDescent="0.35">
      <c r="A53" t="str">
        <f>Pivot!$A$6</f>
        <v>HR</v>
      </c>
      <c r="B53" s="2">
        <f>Pivot!$B$6</f>
        <v>254638</v>
      </c>
      <c r="D53" t="str">
        <f>Pivot!$D$6</f>
        <v>Marketing</v>
      </c>
      <c r="E53" s="2">
        <f>Pivot!$E$6</f>
        <v>367052</v>
      </c>
      <c r="G53">
        <f>Pivot!$G$6</f>
        <v>0</v>
      </c>
      <c r="H53" s="2">
        <f>Pivot!$H$6</f>
        <v>0</v>
      </c>
      <c r="J53" t="str">
        <f>Pivot!$A$28</f>
        <v>Cheque</v>
      </c>
      <c r="K53" s="2">
        <f>Pivot!$B$28</f>
        <v>371044</v>
      </c>
      <c r="M53" t="str">
        <f>Pivot!$D$28</f>
        <v>HR</v>
      </c>
      <c r="N53" s="2">
        <f>Pivot!$E$28</f>
        <v>254638</v>
      </c>
      <c r="O53" s="2">
        <f>Pivot!$F$28</f>
        <v>338039</v>
      </c>
    </row>
    <row r="54" spans="1:15" x14ac:dyDescent="0.35">
      <c r="A54" t="str">
        <f>Pivot!$A$7</f>
        <v>Marketing</v>
      </c>
      <c r="B54" s="2">
        <f>Pivot!$B$7</f>
        <v>116251</v>
      </c>
      <c r="D54" t="str">
        <f>Pivot!$D$7</f>
        <v>Office Supplies</v>
      </c>
      <c r="E54" s="2">
        <f>Pivot!$E$7</f>
        <v>6866</v>
      </c>
      <c r="G54">
        <f>Pivot!$G$7</f>
        <v>0</v>
      </c>
      <c r="H54" s="2">
        <f>Pivot!$H$7</f>
        <v>0</v>
      </c>
      <c r="J54" t="str">
        <f>Pivot!$A$29</f>
        <v>Credit Card</v>
      </c>
      <c r="K54" s="2">
        <f>Pivot!$B$29</f>
        <v>336652</v>
      </c>
      <c r="M54" t="str">
        <f>Pivot!$D$29</f>
        <v>Marketing</v>
      </c>
      <c r="N54" s="2">
        <f>Pivot!$E$29</f>
        <v>116251</v>
      </c>
      <c r="O54" s="2">
        <f>Pivot!$F$29</f>
        <v>128484</v>
      </c>
    </row>
    <row r="55" spans="1:15" x14ac:dyDescent="0.35">
      <c r="A55" t="str">
        <f>Pivot!$A$8</f>
        <v>Operations</v>
      </c>
      <c r="B55" s="2">
        <f>Pivot!$B$8</f>
        <v>399968</v>
      </c>
      <c r="D55" t="str">
        <f>Pivot!$D$8</f>
        <v>Software</v>
      </c>
      <c r="E55" s="2">
        <f>Pivot!$E$8</f>
        <v>115499</v>
      </c>
      <c r="G55">
        <f>Pivot!$G$8</f>
        <v>0</v>
      </c>
      <c r="H55" s="2">
        <f>Pivot!$H$8</f>
        <v>0</v>
      </c>
      <c r="M55" t="str">
        <f>Pivot!$D$30</f>
        <v>Operations</v>
      </c>
      <c r="N55" s="2">
        <f>Pivot!$E$30</f>
        <v>399968</v>
      </c>
      <c r="O55" s="2">
        <f>Pivot!$F$30</f>
        <v>535106</v>
      </c>
    </row>
    <row r="56" spans="1:15" x14ac:dyDescent="0.35">
      <c r="A56" t="str">
        <f>Pivot!$A$9</f>
        <v>Sales</v>
      </c>
      <c r="B56" s="2">
        <f>Pivot!$B$9</f>
        <v>236426</v>
      </c>
      <c r="D56" t="str">
        <f>Pivot!$D$9</f>
        <v>Training</v>
      </c>
      <c r="E56" s="2">
        <f>Pivot!$E$9</f>
        <v>13058</v>
      </c>
      <c r="G56">
        <f>Pivot!$G$9</f>
        <v>0</v>
      </c>
      <c r="H56" s="2">
        <f>Pivot!$H$9</f>
        <v>0</v>
      </c>
      <c r="M56" t="str">
        <f>Pivot!$D$31</f>
        <v>Sales</v>
      </c>
      <c r="N56" s="2">
        <f>Pivot!$E$31</f>
        <v>236426</v>
      </c>
      <c r="O56" s="2">
        <f>Pivot!$F$31</f>
        <v>299316</v>
      </c>
    </row>
    <row r="57" spans="1:15" x14ac:dyDescent="0.35">
      <c r="D57" t="str">
        <f>Pivot!$D$10</f>
        <v>Travel</v>
      </c>
      <c r="E57" s="2">
        <f>Pivot!$E$10</f>
        <v>354613</v>
      </c>
      <c r="G57">
        <f>Pivot!$G$10</f>
        <v>0</v>
      </c>
      <c r="H57" s="2">
        <f>Pivot!$H$10</f>
        <v>0</v>
      </c>
    </row>
    <row r="58" spans="1:15" x14ac:dyDescent="0.35">
      <c r="D58" t="str">
        <f>Pivot!$D$11</f>
        <v>Utilities</v>
      </c>
      <c r="E58" s="2">
        <f>Pivot!$E$11</f>
        <v>46483</v>
      </c>
      <c r="G58">
        <f>Pivot!$G$11</f>
        <v>0</v>
      </c>
      <c r="H58" s="2">
        <f>Pivot!$H$11</f>
        <v>0</v>
      </c>
    </row>
    <row r="59" spans="1:15" x14ac:dyDescent="0.35">
      <c r="G59">
        <f>Pivot!$G$12</f>
        <v>0</v>
      </c>
      <c r="H59" s="2">
        <f>Pivot!$H$12</f>
        <v>0</v>
      </c>
    </row>
    <row r="60" spans="1:15" x14ac:dyDescent="0.35">
      <c r="G60">
        <f>Pivot!$G$13</f>
        <v>0</v>
      </c>
      <c r="H60" s="2">
        <f>Pivot!$H$13</f>
        <v>0</v>
      </c>
    </row>
    <row r="61" spans="1:15" x14ac:dyDescent="0.35">
      <c r="G61">
        <f>Pivot!$G$14</f>
        <v>0</v>
      </c>
      <c r="H61" s="2">
        <f>Pivot!$H$14</f>
        <v>0</v>
      </c>
    </row>
    <row r="62" spans="1:15" x14ac:dyDescent="0.35">
      <c r="G62">
        <f>Pivot!$G$15</f>
        <v>0</v>
      </c>
      <c r="H62" s="2">
        <f>Pivot!$H$15</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Ajay Krishna</cp:lastModifiedBy>
  <dcterms:created xsi:type="dcterms:W3CDTF">2026-05-19T08:07:04Z</dcterms:created>
  <dcterms:modified xsi:type="dcterms:W3CDTF">2026-08-14T10:03:06Z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